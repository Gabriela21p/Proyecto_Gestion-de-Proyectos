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xt_juan.martinez\Downloads\"/>
    </mc:Choice>
  </mc:AlternateContent>
  <xr:revisionPtr revIDLastSave="0" documentId="13_ncr:1_{072D0652-E3F4-4086-9EFC-095667E0441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_FilterDatabase" localSheetId="0" hidden="1">'Presupuesto del proyecto'!$B$1:$S$108</definedName>
    <definedName name="_xlnm.Print_Area" localSheetId="0">'Presupuesto del proyecto'!$B$1:$S$108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5" i="6" l="1"/>
  <c r="Q105" i="6" s="1"/>
  <c r="M105" i="6"/>
  <c r="J106" i="6"/>
  <c r="M106" i="6"/>
  <c r="J50" i="6"/>
  <c r="Q50" i="6" s="1"/>
  <c r="M50" i="6"/>
  <c r="J52" i="6"/>
  <c r="Q52" i="6" s="1"/>
  <c r="M52" i="6"/>
  <c r="J53" i="6"/>
  <c r="Q53" i="6" s="1"/>
  <c r="M53" i="6"/>
  <c r="J54" i="6"/>
  <c r="Q54" i="6" s="1"/>
  <c r="M54" i="6"/>
  <c r="R54" i="6" s="1"/>
  <c r="J55" i="6"/>
  <c r="M55" i="6"/>
  <c r="J56" i="6"/>
  <c r="Q56" i="6" s="1"/>
  <c r="M56" i="6"/>
  <c r="J57" i="6"/>
  <c r="Q57" i="6" s="1"/>
  <c r="M57" i="6"/>
  <c r="J58" i="6"/>
  <c r="M58" i="6"/>
  <c r="J59" i="6"/>
  <c r="Q59" i="6" s="1"/>
  <c r="M59" i="6"/>
  <c r="J60" i="6"/>
  <c r="Q60" i="6" s="1"/>
  <c r="M60" i="6"/>
  <c r="J61" i="6"/>
  <c r="Q61" i="6" s="1"/>
  <c r="M61" i="6"/>
  <c r="J62" i="6"/>
  <c r="Q62" i="6" s="1"/>
  <c r="M62" i="6"/>
  <c r="J64" i="6"/>
  <c r="Q64" i="6" s="1"/>
  <c r="M64" i="6"/>
  <c r="J65" i="6"/>
  <c r="Q65" i="6" s="1"/>
  <c r="M65" i="6"/>
  <c r="J66" i="6"/>
  <c r="Q66" i="6" s="1"/>
  <c r="M66" i="6"/>
  <c r="J67" i="6"/>
  <c r="Q67" i="6" s="1"/>
  <c r="M67" i="6"/>
  <c r="J68" i="6"/>
  <c r="Q68" i="6" s="1"/>
  <c r="M68" i="6"/>
  <c r="J69" i="6"/>
  <c r="Q69" i="6" s="1"/>
  <c r="M69" i="6"/>
  <c r="J70" i="6"/>
  <c r="Q70" i="6" s="1"/>
  <c r="M70" i="6"/>
  <c r="R70" i="6" s="1"/>
  <c r="J71" i="6"/>
  <c r="Q71" i="6" s="1"/>
  <c r="M71" i="6"/>
  <c r="J72" i="6"/>
  <c r="Q72" i="6" s="1"/>
  <c r="M72" i="6"/>
  <c r="J74" i="6"/>
  <c r="Q74" i="6" s="1"/>
  <c r="M74" i="6"/>
  <c r="J75" i="6"/>
  <c r="Q75" i="6" s="1"/>
  <c r="M75" i="6"/>
  <c r="J76" i="6"/>
  <c r="Q76" i="6" s="1"/>
  <c r="M76" i="6"/>
  <c r="J77" i="6"/>
  <c r="Q77" i="6" s="1"/>
  <c r="M77" i="6"/>
  <c r="J78" i="6"/>
  <c r="Q78" i="6" s="1"/>
  <c r="M78" i="6"/>
  <c r="J79" i="6"/>
  <c r="Q79" i="6" s="1"/>
  <c r="M79" i="6"/>
  <c r="R79" i="6" s="1"/>
  <c r="J80" i="6"/>
  <c r="Q80" i="6" s="1"/>
  <c r="M80" i="6"/>
  <c r="J81" i="6"/>
  <c r="Q81" i="6" s="1"/>
  <c r="M81" i="6"/>
  <c r="J83" i="6"/>
  <c r="Q83" i="6" s="1"/>
  <c r="M83" i="6"/>
  <c r="J84" i="6"/>
  <c r="Q84" i="6" s="1"/>
  <c r="M84" i="6"/>
  <c r="J85" i="6"/>
  <c r="Q85" i="6" s="1"/>
  <c r="M85" i="6"/>
  <c r="J86" i="6"/>
  <c r="Q86" i="6" s="1"/>
  <c r="M86" i="6"/>
  <c r="J87" i="6"/>
  <c r="Q87" i="6" s="1"/>
  <c r="M87" i="6"/>
  <c r="J89" i="6"/>
  <c r="Q89" i="6" s="1"/>
  <c r="M89" i="6"/>
  <c r="J90" i="6"/>
  <c r="Q90" i="6" s="1"/>
  <c r="M90" i="6"/>
  <c r="J91" i="6"/>
  <c r="Q91" i="6" s="1"/>
  <c r="M91" i="6"/>
  <c r="J92" i="6"/>
  <c r="Q92" i="6" s="1"/>
  <c r="M92" i="6"/>
  <c r="J93" i="6"/>
  <c r="Q93" i="6" s="1"/>
  <c r="M93" i="6"/>
  <c r="J94" i="6"/>
  <c r="Q94" i="6" s="1"/>
  <c r="M94" i="6"/>
  <c r="J95" i="6"/>
  <c r="Q95" i="6" s="1"/>
  <c r="M95" i="6"/>
  <c r="J96" i="6"/>
  <c r="Q96" i="6" s="1"/>
  <c r="M96" i="6"/>
  <c r="J97" i="6"/>
  <c r="Q97" i="6" s="1"/>
  <c r="M97" i="6"/>
  <c r="J98" i="6"/>
  <c r="Q98" i="6" s="1"/>
  <c r="M98" i="6"/>
  <c r="J99" i="6"/>
  <c r="Q99" i="6" s="1"/>
  <c r="M99" i="6"/>
  <c r="J101" i="6"/>
  <c r="Q101" i="6" s="1"/>
  <c r="M101" i="6"/>
  <c r="J102" i="6"/>
  <c r="Q102" i="6" s="1"/>
  <c r="M102" i="6"/>
  <c r="J103" i="6"/>
  <c r="Q103" i="6" s="1"/>
  <c r="M103" i="6"/>
  <c r="J39" i="6"/>
  <c r="Q39" i="6" s="1"/>
  <c r="M39" i="6"/>
  <c r="J40" i="6"/>
  <c r="Q40" i="6" s="1"/>
  <c r="M40" i="6"/>
  <c r="J41" i="6"/>
  <c r="Q41" i="6" s="1"/>
  <c r="M41" i="6"/>
  <c r="J42" i="6"/>
  <c r="Q42" i="6" s="1"/>
  <c r="M42" i="6"/>
  <c r="J43" i="6"/>
  <c r="Q43" i="6" s="1"/>
  <c r="M43" i="6"/>
  <c r="J44" i="6"/>
  <c r="Q44" i="6" s="1"/>
  <c r="M44" i="6"/>
  <c r="J45" i="6"/>
  <c r="Q45" i="6" s="1"/>
  <c r="M45" i="6"/>
  <c r="J46" i="6"/>
  <c r="Q46" i="6" s="1"/>
  <c r="M46" i="6"/>
  <c r="J47" i="6"/>
  <c r="Q47" i="6" s="1"/>
  <c r="M47" i="6"/>
  <c r="J48" i="6"/>
  <c r="Q48" i="6" s="1"/>
  <c r="M48" i="6"/>
  <c r="J49" i="6"/>
  <c r="Q49" i="6" s="1"/>
  <c r="M49" i="6"/>
  <c r="J28" i="6"/>
  <c r="Q28" i="6" s="1"/>
  <c r="M28" i="6"/>
  <c r="J30" i="6"/>
  <c r="Q30" i="6" s="1"/>
  <c r="M30" i="6"/>
  <c r="J31" i="6"/>
  <c r="Q31" i="6" s="1"/>
  <c r="M31" i="6"/>
  <c r="J32" i="6"/>
  <c r="Q32" i="6" s="1"/>
  <c r="M32" i="6"/>
  <c r="J33" i="6"/>
  <c r="Q33" i="6" s="1"/>
  <c r="M33" i="6"/>
  <c r="J35" i="6"/>
  <c r="Q35" i="6" s="1"/>
  <c r="M35" i="6"/>
  <c r="J36" i="6"/>
  <c r="Q36" i="6" s="1"/>
  <c r="M36" i="6"/>
  <c r="J37" i="6"/>
  <c r="Q37" i="6" s="1"/>
  <c r="M37" i="6"/>
  <c r="J23" i="6"/>
  <c r="Q23" i="6" s="1"/>
  <c r="M23" i="6"/>
  <c r="J25" i="6"/>
  <c r="Q25" i="6" s="1"/>
  <c r="M25" i="6"/>
  <c r="J26" i="6"/>
  <c r="Q26" i="6" s="1"/>
  <c r="M26" i="6"/>
  <c r="J27" i="6"/>
  <c r="Q27" i="6" s="1"/>
  <c r="M27" i="6"/>
  <c r="J38" i="6"/>
  <c r="Q38" i="6" s="1"/>
  <c r="M38" i="6"/>
  <c r="M13" i="6"/>
  <c r="M14" i="6"/>
  <c r="M15" i="6"/>
  <c r="M16" i="6"/>
  <c r="M18" i="6"/>
  <c r="M19" i="6"/>
  <c r="M20" i="6"/>
  <c r="M21" i="6"/>
  <c r="M22" i="6"/>
  <c r="J16" i="6"/>
  <c r="Q16" i="6" s="1"/>
  <c r="J18" i="6"/>
  <c r="Q18" i="6" s="1"/>
  <c r="J19" i="6"/>
  <c r="Q19" i="6" s="1"/>
  <c r="J20" i="6"/>
  <c r="Q20" i="6" s="1"/>
  <c r="J21" i="6"/>
  <c r="J22" i="6"/>
  <c r="J13" i="6"/>
  <c r="Q13" i="6" s="1"/>
  <c r="J14" i="6"/>
  <c r="J7" i="6"/>
  <c r="Q7" i="6" s="1"/>
  <c r="M7" i="6"/>
  <c r="J8" i="6"/>
  <c r="Q8" i="6" s="1"/>
  <c r="M8" i="6"/>
  <c r="J9" i="6"/>
  <c r="Q9" i="6" s="1"/>
  <c r="M9" i="6"/>
  <c r="J10" i="6"/>
  <c r="Q10" i="6" s="1"/>
  <c r="M10" i="6"/>
  <c r="J12" i="6"/>
  <c r="Q12" i="6" s="1"/>
  <c r="M12" i="6"/>
  <c r="J15" i="6"/>
  <c r="Q15" i="6" s="1"/>
  <c r="J5" i="6"/>
  <c r="Q5" i="6" s="1"/>
  <c r="J6" i="6"/>
  <c r="Q6" i="6" s="1"/>
  <c r="J104" i="6"/>
  <c r="M5" i="6"/>
  <c r="M6" i="6"/>
  <c r="M104" i="6"/>
  <c r="N107" i="6"/>
  <c r="O107" i="6"/>
  <c r="P107" i="6"/>
  <c r="R59" i="6" l="1"/>
  <c r="S59" i="6" s="1"/>
  <c r="R101" i="6"/>
  <c r="S101" i="6" s="1"/>
  <c r="R106" i="6"/>
  <c r="Q106" i="6"/>
  <c r="Q104" i="6"/>
  <c r="R104" i="6"/>
  <c r="R55" i="6"/>
  <c r="Q55" i="6"/>
  <c r="S55" i="6" s="1"/>
  <c r="R58" i="6"/>
  <c r="Q58" i="6"/>
  <c r="R21" i="6"/>
  <c r="Q21" i="6"/>
  <c r="R22" i="6"/>
  <c r="Q22" i="6"/>
  <c r="R14" i="6"/>
  <c r="Q14" i="6"/>
  <c r="S79" i="6"/>
  <c r="S70" i="6"/>
  <c r="S54" i="6"/>
  <c r="S22" i="6"/>
  <c r="R102" i="6"/>
  <c r="S102" i="6" s="1"/>
  <c r="R75" i="6"/>
  <c r="S75" i="6" s="1"/>
  <c r="R64" i="6"/>
  <c r="S64" i="6" s="1"/>
  <c r="R67" i="6"/>
  <c r="S67" i="6" s="1"/>
  <c r="R33" i="6"/>
  <c r="S33" i="6" s="1"/>
  <c r="R57" i="6"/>
  <c r="S57" i="6" s="1"/>
  <c r="R78" i="6"/>
  <c r="S78" i="6" s="1"/>
  <c r="R86" i="6"/>
  <c r="S86" i="6" s="1"/>
  <c r="R65" i="6"/>
  <c r="S65" i="6" s="1"/>
  <c r="R52" i="6"/>
  <c r="S52" i="6" s="1"/>
  <c r="R105" i="6"/>
  <c r="S105" i="6" s="1"/>
  <c r="R50" i="6"/>
  <c r="S50" i="6" s="1"/>
  <c r="R53" i="6"/>
  <c r="S53" i="6" s="1"/>
  <c r="R77" i="6"/>
  <c r="S77" i="6" s="1"/>
  <c r="R49" i="6"/>
  <c r="S49" i="6" s="1"/>
  <c r="R92" i="6"/>
  <c r="S92" i="6" s="1"/>
  <c r="R94" i="6"/>
  <c r="S94" i="6" s="1"/>
  <c r="R56" i="6"/>
  <c r="S56" i="6" s="1"/>
  <c r="R60" i="6"/>
  <c r="S60" i="6" s="1"/>
  <c r="R69" i="6"/>
  <c r="S69" i="6" s="1"/>
  <c r="R83" i="6"/>
  <c r="S83" i="6" s="1"/>
  <c r="R85" i="6"/>
  <c r="S85" i="6" s="1"/>
  <c r="R96" i="6"/>
  <c r="S96" i="6" s="1"/>
  <c r="R103" i="6"/>
  <c r="S103" i="6" s="1"/>
  <c r="R62" i="6"/>
  <c r="S62" i="6" s="1"/>
  <c r="R81" i="6"/>
  <c r="S81" i="6" s="1"/>
  <c r="R89" i="6"/>
  <c r="S89" i="6" s="1"/>
  <c r="R98" i="6"/>
  <c r="S98" i="6" s="1"/>
  <c r="R76" i="6"/>
  <c r="S76" i="6" s="1"/>
  <c r="R80" i="6"/>
  <c r="S80" i="6" s="1"/>
  <c r="R99" i="6"/>
  <c r="S99" i="6" s="1"/>
  <c r="R72" i="6"/>
  <c r="S72" i="6" s="1"/>
  <c r="R61" i="6"/>
  <c r="S61" i="6" s="1"/>
  <c r="R71" i="6"/>
  <c r="S71" i="6" s="1"/>
  <c r="R74" i="6"/>
  <c r="S74" i="6" s="1"/>
  <c r="R90" i="6"/>
  <c r="S90" i="6" s="1"/>
  <c r="R91" i="6"/>
  <c r="S91" i="6" s="1"/>
  <c r="R95" i="6"/>
  <c r="S95" i="6" s="1"/>
  <c r="R66" i="6"/>
  <c r="S66" i="6" s="1"/>
  <c r="R68" i="6"/>
  <c r="S68" i="6" s="1"/>
  <c r="R84" i="6"/>
  <c r="S84" i="6" s="1"/>
  <c r="R87" i="6"/>
  <c r="S87" i="6" s="1"/>
  <c r="R93" i="6"/>
  <c r="S93" i="6" s="1"/>
  <c r="R97" i="6"/>
  <c r="S97" i="6" s="1"/>
  <c r="R41" i="6"/>
  <c r="S41" i="6" s="1"/>
  <c r="R36" i="6"/>
  <c r="S36" i="6" s="1"/>
  <c r="R7" i="6"/>
  <c r="S7" i="6" s="1"/>
  <c r="R12" i="6"/>
  <c r="S12" i="6" s="1"/>
  <c r="R13" i="6"/>
  <c r="S13" i="6" s="1"/>
  <c r="R48" i="6"/>
  <c r="S48" i="6" s="1"/>
  <c r="R43" i="6"/>
  <c r="S43" i="6" s="1"/>
  <c r="R30" i="6"/>
  <c r="S30" i="6" s="1"/>
  <c r="R40" i="6"/>
  <c r="S40" i="6" s="1"/>
  <c r="R44" i="6"/>
  <c r="S44" i="6" s="1"/>
  <c r="R26" i="6"/>
  <c r="S26" i="6" s="1"/>
  <c r="R35" i="6"/>
  <c r="S35" i="6" s="1"/>
  <c r="R28" i="6"/>
  <c r="S28" i="6" s="1"/>
  <c r="R25" i="6"/>
  <c r="S25" i="6" s="1"/>
  <c r="R27" i="6"/>
  <c r="S27" i="6" s="1"/>
  <c r="R47" i="6"/>
  <c r="S47" i="6" s="1"/>
  <c r="R42" i="6"/>
  <c r="S42" i="6" s="1"/>
  <c r="R32" i="6"/>
  <c r="S32" i="6" s="1"/>
  <c r="R46" i="6"/>
  <c r="S46" i="6" s="1"/>
  <c r="R23" i="6"/>
  <c r="S23" i="6" s="1"/>
  <c r="R37" i="6"/>
  <c r="S37" i="6" s="1"/>
  <c r="R39" i="6"/>
  <c r="S39" i="6" s="1"/>
  <c r="R45" i="6"/>
  <c r="S45" i="6" s="1"/>
  <c r="R31" i="6"/>
  <c r="S31" i="6" s="1"/>
  <c r="R15" i="6"/>
  <c r="S15" i="6" s="1"/>
  <c r="R20" i="6"/>
  <c r="S20" i="6" s="1"/>
  <c r="R18" i="6"/>
  <c r="S18" i="6" s="1"/>
  <c r="R38" i="6"/>
  <c r="S38" i="6" s="1"/>
  <c r="R16" i="6"/>
  <c r="S16" i="6" s="1"/>
  <c r="R19" i="6"/>
  <c r="S19" i="6" s="1"/>
  <c r="R10" i="6"/>
  <c r="S10" i="6" s="1"/>
  <c r="R9" i="6"/>
  <c r="S9" i="6" s="1"/>
  <c r="R6" i="6"/>
  <c r="S6" i="6" s="1"/>
  <c r="R8" i="6"/>
  <c r="S8" i="6" s="1"/>
  <c r="J107" i="6"/>
  <c r="M107" i="6"/>
  <c r="R5" i="6"/>
  <c r="S5" i="6" s="1"/>
  <c r="S21" i="6" l="1"/>
  <c r="S58" i="6"/>
  <c r="S106" i="6"/>
  <c r="S104" i="6"/>
  <c r="S14" i="6"/>
  <c r="Q107" i="6"/>
  <c r="R107" i="6"/>
  <c r="S107" i="6" l="1"/>
</calcChain>
</file>

<file path=xl/sharedStrings.xml><?xml version="1.0" encoding="utf-8"?>
<sst xmlns="http://schemas.openxmlformats.org/spreadsheetml/2006/main" count="342" uniqueCount="236">
  <si>
    <t>SUBTOTAL</t>
  </si>
  <si>
    <t>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</si>
  <si>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</si>
  <si>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</si>
  <si>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</si>
  <si>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</si>
  <si>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</si>
  <si>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</si>
  <si>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</si>
  <si>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</si>
  <si>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</si>
  <si>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</si>
  <si>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</si>
  <si>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</si>
  <si>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</si>
  <si>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</si>
  <si>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</si>
  <si>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</si>
  <si>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</si>
  <si>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</si>
  <si>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</si>
  <si>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</si>
  <si>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</si>
  <si>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</si>
  <si>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</si>
  <si>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</si>
  <si>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SI / NO</t>
  </si>
  <si>
    <t>Si</t>
  </si>
  <si>
    <t>Baja</t>
  </si>
  <si>
    <t>Media</t>
  </si>
  <si>
    <t>Alta</t>
  </si>
  <si>
    <t>No Iniciado</t>
  </si>
  <si>
    <t>En Progreso</t>
  </si>
  <si>
    <t>Completo</t>
  </si>
  <si>
    <t>Aprobado</t>
  </si>
  <si>
    <t>Atrasado</t>
  </si>
  <si>
    <t>Requiere Revisión</t>
  </si>
  <si>
    <t>En Espera</t>
  </si>
  <si>
    <t>listas desplegables</t>
  </si>
  <si>
    <t>PRIORIDAD</t>
  </si>
  <si>
    <t>1.1.1</t>
  </si>
  <si>
    <t>1.2.1</t>
  </si>
  <si>
    <t>1.3.1</t>
  </si>
  <si>
    <t>1.4.1</t>
  </si>
  <si>
    <t>1.5.1</t>
  </si>
  <si>
    <t>1.6.1</t>
  </si>
  <si>
    <t>2.1.1</t>
  </si>
  <si>
    <t>2.2.1</t>
  </si>
  <si>
    <t>2.3.1</t>
  </si>
  <si>
    <t>2.4.1</t>
  </si>
  <si>
    <t>2.5.1</t>
  </si>
  <si>
    <t>3.1.1</t>
  </si>
  <si>
    <t>3.2.1</t>
  </si>
  <si>
    <t>3.3.1</t>
  </si>
  <si>
    <t>3.4.1</t>
  </si>
  <si>
    <t>3.5.1</t>
  </si>
  <si>
    <t>3.6.1</t>
  </si>
  <si>
    <t>4.1.1</t>
  </si>
  <si>
    <t>4.2.1</t>
  </si>
  <si>
    <t>4.3.1</t>
  </si>
  <si>
    <t>4.4.1</t>
  </si>
  <si>
    <t>5.1.1</t>
  </si>
  <si>
    <t>5.2.1</t>
  </si>
  <si>
    <t>5.3.1</t>
  </si>
  <si>
    <t>5.4.1</t>
  </si>
  <si>
    <t>6.1.1</t>
  </si>
  <si>
    <t>6.2.1</t>
  </si>
  <si>
    <t>6.3.1</t>
  </si>
  <si>
    <t>6.4.1</t>
  </si>
  <si>
    <t>6.5.1</t>
  </si>
  <si>
    <t>6.6.1</t>
  </si>
  <si>
    <t>6.7.1</t>
  </si>
  <si>
    <t>6.8.1</t>
  </si>
  <si>
    <t>6.9.1</t>
  </si>
  <si>
    <t>6.10.1</t>
  </si>
  <si>
    <t>6.11.1</t>
  </si>
  <si>
    <t>6.12.1</t>
  </si>
  <si>
    <t>6.13.1</t>
  </si>
  <si>
    <t>6.14.1</t>
  </si>
  <si>
    <t>6.15.1</t>
  </si>
  <si>
    <t>6.16.1</t>
  </si>
  <si>
    <t>7.1.1</t>
  </si>
  <si>
    <t>7.2.1</t>
  </si>
  <si>
    <t>7.3.1</t>
  </si>
  <si>
    <t>7.4.1</t>
  </si>
  <si>
    <t>7.5.1</t>
  </si>
  <si>
    <t>7.6.1</t>
  </si>
  <si>
    <t>7.7.1</t>
  </si>
  <si>
    <t>7.8.1</t>
  </si>
  <si>
    <t>7.9.1</t>
  </si>
  <si>
    <t>7.10.1</t>
  </si>
  <si>
    <t>7.11.1</t>
  </si>
  <si>
    <t>8.1.1</t>
  </si>
  <si>
    <t>8.2.1</t>
  </si>
  <si>
    <t>8.3.1</t>
  </si>
  <si>
    <t>8.4.1</t>
  </si>
  <si>
    <t>8.5.1</t>
  </si>
  <si>
    <t>8.6.1</t>
  </si>
  <si>
    <t>8.7.1</t>
  </si>
  <si>
    <t>8.8.1</t>
  </si>
  <si>
    <t>8.9.1</t>
  </si>
  <si>
    <t>9.1.1</t>
  </si>
  <si>
    <t>9.2.1</t>
  </si>
  <si>
    <t>9.3.1</t>
  </si>
  <si>
    <t>9.4.1</t>
  </si>
  <si>
    <t>9.5.1</t>
  </si>
  <si>
    <t>9.6.1</t>
  </si>
  <si>
    <t>9.7.1</t>
  </si>
  <si>
    <t>9.8.1</t>
  </si>
  <si>
    <t>10.1.1</t>
  </si>
  <si>
    <t>10.2.1</t>
  </si>
  <si>
    <t>10.3.1</t>
  </si>
  <si>
    <t>10.4.1</t>
  </si>
  <si>
    <t>10.5.1</t>
  </si>
  <si>
    <t>11.1.1</t>
  </si>
  <si>
    <t>11.2.1</t>
  </si>
  <si>
    <t>11.3.1</t>
  </si>
  <si>
    <t>11.4.1</t>
  </si>
  <si>
    <t>11.5.1</t>
  </si>
  <si>
    <t>11.6.1</t>
  </si>
  <si>
    <t>11.7.1</t>
  </si>
  <si>
    <t>11.8.1</t>
  </si>
  <si>
    <t>11.9.1</t>
  </si>
  <si>
    <t>11.10.1</t>
  </si>
  <si>
    <t>11.11.1</t>
  </si>
  <si>
    <t>12.1.1</t>
  </si>
  <si>
    <t>12.2.1</t>
  </si>
  <si>
    <t>12.3.1</t>
  </si>
  <si>
    <t>12.4.1</t>
  </si>
  <si>
    <t>12.5.1</t>
  </si>
  <si>
    <t>12.6.1</t>
  </si>
  <si>
    <t>Elaborar Acta de Constitución del Proyecto</t>
  </si>
  <si>
    <t>Elaborar plan de gestión del proyecto</t>
  </si>
  <si>
    <t>Elaborar cronograma detallado del proyecto</t>
  </si>
  <si>
    <t>Elaborar plan de gestión de riesgos</t>
  </si>
  <si>
    <t>Realizar reuniones de seguimiento semanal</t>
  </si>
  <si>
    <t>Elaborar informes de avance del proyecto</t>
  </si>
  <si>
    <t>Levantar requisitos funcionales del sistema</t>
  </si>
  <si>
    <t>Levantar requisitos no funcionales, seguridad e integración</t>
  </si>
  <si>
    <t>Elaborar casos de uso e historias de usuario</t>
  </si>
  <si>
    <t>Priorizar y consolidar backlog del MVP</t>
  </si>
  <si>
    <t>Validar y aprobar requisitos con patrocinador</t>
  </si>
  <si>
    <t>Elaborar mapa de navegación y flujos de usuario</t>
  </si>
  <si>
    <t>Diseñar wireframes de la app móvil Android</t>
  </si>
  <si>
    <t>Diseñar wireframes del portal de establecimientos</t>
  </si>
  <si>
    <t>Diseñar wireframes del panel administrativo</t>
  </si>
  <si>
    <t>Elaborar mockups de alta fidelidad y guía de estilo</t>
  </si>
  <si>
    <t>Validar prototipos con usuarios e interesados</t>
  </si>
  <si>
    <t>Definir arquitectura general del sistema</t>
  </si>
  <si>
    <t>Seleccionar stack tecnológico y herramientas</t>
  </si>
  <si>
    <t>Diseñar arquitectura de APIs e integración con Google Maps</t>
  </si>
  <si>
    <t>Diseñar estrategia de seguridad del sistema</t>
  </si>
  <si>
    <t>Elaborar modelo entidad-relación de la base de datos</t>
  </si>
  <si>
    <t>Diseñar esquema físico de la base de datos</t>
  </si>
  <si>
    <t>Configurar motor de base de datos y ambientes</t>
  </si>
  <si>
    <t>Configurar entorno de desarrollo y repositorio</t>
  </si>
  <si>
    <t>Desarrollar servicio de autenticación</t>
  </si>
  <si>
    <t>Desarrollar servicio de usuarios</t>
  </si>
  <si>
    <t>Desarrollar servicio de establecimientos</t>
  </si>
  <si>
    <t>Desarrollar módulo de categorías</t>
  </si>
  <si>
    <t>Desarrollar módulo de geolocalización</t>
  </si>
  <si>
    <t>Desarrollar módulo de búsqueda y filtros</t>
  </si>
  <si>
    <t>Desarrollar módulo de disponibilidad</t>
  </si>
  <si>
    <t>Desarrollar módulo de reservas</t>
  </si>
  <si>
    <t>Desarrollar módulo de gestión de aforo</t>
  </si>
  <si>
    <t>Desarrollar módulo de calificaciones</t>
  </si>
  <si>
    <t>Desarrollar módulo de favoritos</t>
  </si>
  <si>
    <t>Desarrollar módulo de menús</t>
  </si>
  <si>
    <t>Desarrollar servicios de pago</t>
  </si>
  <si>
    <t>Desarrollar servicios de notificaciones</t>
  </si>
  <si>
    <t>Desarrollar servicios del panel administrativo</t>
  </si>
  <si>
    <t>Documentar APIs REST del sistema</t>
  </si>
  <si>
    <t>Configurar proyecto de la aplicación móvil Android</t>
  </si>
  <si>
    <t>Desarrollar módulo de registro e inicio de sesión</t>
  </si>
  <si>
    <t>Desarrollar módulo de búsqueda y geolocalización</t>
  </si>
  <si>
    <t>Desarrollar módulo de consulta de establecimientos</t>
  </si>
  <si>
    <t>Desarrollar módulo de consulta de disponibilidad</t>
  </si>
  <si>
    <t>Desarrollar módulo de pagos</t>
  </si>
  <si>
    <t>Desarrollar módulo de favoritos y perfil</t>
  </si>
  <si>
    <t>Desarrollar módulo de notificaciones</t>
  </si>
  <si>
    <t>Integrar aplicación móvil con Backend</t>
  </si>
  <si>
    <t>Configurar proyecto del portal de establecimientos</t>
  </si>
  <si>
    <t>Desarrollar módulo de administración del negocio</t>
  </si>
  <si>
    <t>Desarrollar módulo de gestión de menús</t>
  </si>
  <si>
    <t>Desarrollar módulo de gestión de disponibilidad</t>
  </si>
  <si>
    <t>Desarrollar módulo de gestión de reservas</t>
  </si>
  <si>
    <t>Desarrollar módulo de gestión de pagos</t>
  </si>
  <si>
    <t>Desarrollar módulo de promociones</t>
  </si>
  <si>
    <t>Integrar portal web con Backend</t>
  </si>
  <si>
    <t>Configurar proyecto del panel administrativo</t>
  </si>
  <si>
    <t>Desarrollar módulo de gestión de usuarios</t>
  </si>
  <si>
    <t>Desarrollar módulo de gestión de restaurantes y bares</t>
  </si>
  <si>
    <t>Desarrollar módulo de gestión de categorías</t>
  </si>
  <si>
    <t>Desarrollar módulo de reportes administrativos</t>
  </si>
  <si>
    <t>Integrar panel administrativo con Backend</t>
  </si>
  <si>
    <t>Integrar app móvil, portal, panel y Backend</t>
  </si>
  <si>
    <t>Integrar servicio externo de geolocalización</t>
  </si>
  <si>
    <t>Integrar servicio de pagos</t>
  </si>
  <si>
    <t>Integrar servicio de notificaciones</t>
  </si>
  <si>
    <t>Ejecutar pruebas de integración entre módulos</t>
  </si>
  <si>
    <t>Elaborar plan de pruebas del sistema</t>
  </si>
  <si>
    <t>Ejecutar pruebas unitarias</t>
  </si>
  <si>
    <t>Ejecutar pruebas de integración</t>
  </si>
  <si>
    <t>Ejecutar pruebas funcionales de la app móvil</t>
  </si>
  <si>
    <t>Ejecutar pruebas funcionales del portal</t>
  </si>
  <si>
    <t>Ejecutar pruebas funcionales del panel</t>
  </si>
  <si>
    <t>Ejecutar pruebas de seguridad</t>
  </si>
  <si>
    <t>Ejecutar pruebas de usabilidad y diseño responsivo</t>
  </si>
  <si>
    <t>Ejecutar pruebas de rendimiento</t>
  </si>
  <si>
    <t>Gestionar corrección de errores (bugfixing)</t>
  </si>
  <si>
    <t>Ejecutar pruebas de aceptación UAT</t>
  </si>
  <si>
    <t>Ejecutar pruebas post-despliegue (smoke test)</t>
  </si>
  <si>
    <t>Elaborar manual técnico del sistema (Incluye costos fijos estimados: $200,000)</t>
  </si>
  <si>
    <t xml:space="preserve">Configurar ambiente de producción / sandbox </t>
  </si>
  <si>
    <t xml:space="preserve">Desplegar Backend y bases de datos </t>
  </si>
  <si>
    <t xml:space="preserve">Desplegar portal web y panel administrativo </t>
  </si>
  <si>
    <t>Elaborar manual técnico del sistema</t>
  </si>
  <si>
    <t xml:space="preserve">Publicar aplicación móvil Android beta </t>
  </si>
  <si>
    <t>Concepción e Inicio del Proyecto</t>
  </si>
  <si>
    <t>Requisitos</t>
  </si>
  <si>
    <t>Diseño UX/UI</t>
  </si>
  <si>
    <t>Arquitectura</t>
  </si>
  <si>
    <t>Base de datos y ambientes</t>
  </si>
  <si>
    <t>Backend y APIs</t>
  </si>
  <si>
    <t>Aplicación móvil</t>
  </si>
  <si>
    <t>Portal establecimientos</t>
  </si>
  <si>
    <t>Panel administrativo</t>
  </si>
  <si>
    <t>Integración</t>
  </si>
  <si>
    <t>Pruebas y QA</t>
  </si>
  <si>
    <t>Despliegue</t>
  </si>
  <si>
    <t>Aplazado</t>
  </si>
  <si>
    <t>08/29/2026</t>
  </si>
  <si>
    <t>09/20/2026</t>
  </si>
  <si>
    <t>09/26/2026</t>
  </si>
  <si>
    <t>09/27/2026</t>
  </si>
  <si>
    <t>09/25/2026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</si>
</sst>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mm/dd/yy;@"/>
    <numFmt numFmtId="170" formatCode="_(&quot;$&quot;* #,##0_);_(&quot;$&quot;* \(#,##0\);_(&quot;$&quot;* &quot;-&quot;??_);_(@_)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10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name val="Century Gothic"/>
      <family val="1"/>
      <charset val="1"/>
    </font>
  </fonts>
  <fills count="3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008080"/>
      </patternFill>
    </fill>
    <fill>
      <patternFill patternType="solid">
        <fgColor rgb="FF007134"/>
        <bgColor rgb="FF008080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0" tint="-0.499984740745262"/>
        <bgColor rgb="FF878787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8" tint="0.59987182226020086"/>
        <bgColor rgb="FFD6DCE5"/>
      </patternFill>
    </fill>
    <fill>
      <patternFill patternType="solid">
        <fgColor rgb="FFFFC000"/>
        <bgColor rgb="FFF4B183"/>
      </patternFill>
    </fill>
    <fill>
      <patternFill patternType="solid">
        <fgColor theme="9" tint="-0.249977111117893"/>
        <bgColor rgb="FF808080"/>
      </patternFill>
    </fill>
    <fill>
      <patternFill patternType="solid">
        <fgColor rgb="FF002060"/>
        <bgColor rgb="FF001033"/>
      </patternFill>
    </fill>
    <fill>
      <patternFill patternType="solid">
        <fgColor theme="9"/>
        <bgColor rgb="FF548235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/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/>
      <diagonal/>
    </border>
    <border>
      <left/>
      <right style="medium">
        <color theme="0" tint="-0.34998626667073579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/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18" fillId="0" borderId="0"/>
    <xf numFmtId="0" fontId="19" fillId="0" borderId="0"/>
    <xf numFmtId="0" fontId="18" fillId="0" borderId="0"/>
  </cellStyleXfs>
  <cellXfs count="156">
    <xf numFmtId="0" fontId="0" fillId="0" borderId="0" xfId="0"/>
    <xf numFmtId="168" fontId="4" fillId="3" borderId="0" xfId="0" applyNumberFormat="1" applyFont="1" applyFill="1" applyAlignment="1" applyProtection="1">
      <alignment wrapText="1"/>
      <protection locked="0"/>
    </xf>
    <xf numFmtId="165" fontId="4" fillId="3" borderId="0" xfId="1" applyNumberFormat="1" applyFont="1" applyFill="1" applyBorder="1" applyAlignment="1" applyProtection="1">
      <alignment wrapText="1"/>
      <protection locked="0"/>
    </xf>
    <xf numFmtId="167" fontId="6" fillId="3" borderId="0" xfId="0" applyNumberFormat="1" applyFont="1" applyFill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167" fontId="4" fillId="3" borderId="0" xfId="1" applyNumberFormat="1" applyFont="1" applyFill="1" applyBorder="1" applyAlignment="1" applyProtection="1">
      <alignment wrapText="1"/>
    </xf>
    <xf numFmtId="0" fontId="7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168" fontId="4" fillId="3" borderId="0" xfId="0" applyNumberFormat="1" applyFont="1" applyFill="1" applyAlignment="1" applyProtection="1">
      <alignment horizontal="left" vertical="center" wrapText="1" indent="1"/>
      <protection locked="0"/>
    </xf>
    <xf numFmtId="165" fontId="4" fillId="3" borderId="0" xfId="1" applyNumberFormat="1" applyFont="1" applyFill="1" applyBorder="1" applyAlignment="1" applyProtection="1">
      <alignment horizontal="left" vertical="center" wrapText="1" indent="1"/>
      <protection locked="0"/>
    </xf>
    <xf numFmtId="167" fontId="4" fillId="3" borderId="0" xfId="1" applyNumberFormat="1" applyFont="1" applyFill="1" applyBorder="1" applyAlignment="1" applyProtection="1">
      <alignment horizontal="left" vertical="center" wrapText="1" indent="1"/>
    </xf>
    <xf numFmtId="167" fontId="6" fillId="3" borderId="0" xfId="0" applyNumberFormat="1" applyFont="1" applyFill="1" applyAlignment="1" applyProtection="1">
      <alignment horizontal="left" vertical="center" wrapText="1" indent="1"/>
      <protection locked="0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left" vertical="center" wrapText="1" indent="1"/>
    </xf>
    <xf numFmtId="169" fontId="11" fillId="5" borderId="1" xfId="0" applyNumberFormat="1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vertical="center"/>
    </xf>
    <xf numFmtId="0" fontId="13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10" fillId="12" borderId="1" xfId="0" applyFont="1" applyFill="1" applyBorder="1" applyAlignment="1">
      <alignment horizontal="left" vertical="center" indent="1"/>
    </xf>
    <xf numFmtId="0" fontId="10" fillId="13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165" fontId="11" fillId="5" borderId="1" xfId="1" applyNumberFormat="1" applyFont="1" applyFill="1" applyBorder="1" applyAlignment="1" applyProtection="1">
      <alignment vertical="center"/>
      <protection locked="0"/>
    </xf>
    <xf numFmtId="0" fontId="17" fillId="3" borderId="0" xfId="0" applyFont="1" applyFill="1" applyAlignment="1">
      <alignment vertical="center"/>
    </xf>
    <xf numFmtId="164" fontId="11" fillId="5" borderId="1" xfId="0" applyNumberFormat="1" applyFont="1" applyFill="1" applyBorder="1" applyAlignment="1" applyProtection="1">
      <alignment vertical="center"/>
      <protection locked="0"/>
    </xf>
    <xf numFmtId="169" fontId="5" fillId="0" borderId="1" xfId="0" applyNumberFormat="1" applyFont="1" applyBorder="1" applyAlignment="1" applyProtection="1">
      <alignment horizontal="left" vertical="center" wrapText="1" indent="1"/>
      <protection locked="0"/>
    </xf>
    <xf numFmtId="16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" xfId="0" applyNumberFormat="1" applyFont="1" applyBorder="1" applyAlignment="1" applyProtection="1">
      <alignment horizontal="right" vertical="center"/>
      <protection locked="0"/>
    </xf>
    <xf numFmtId="164" fontId="11" fillId="5" borderId="10" xfId="1" applyNumberFormat="1" applyFont="1" applyFill="1" applyBorder="1" applyAlignment="1" applyProtection="1">
      <alignment vertical="center"/>
      <protection locked="0"/>
    </xf>
    <xf numFmtId="168" fontId="12" fillId="5" borderId="8" xfId="0" applyNumberFormat="1" applyFont="1" applyFill="1" applyBorder="1" applyAlignment="1" applyProtection="1">
      <alignment horizontal="left" vertical="center"/>
      <protection locked="0"/>
    </xf>
    <xf numFmtId="170" fontId="11" fillId="5" borderId="14" xfId="1" applyNumberFormat="1" applyFont="1" applyFill="1" applyBorder="1" applyAlignment="1" applyProtection="1">
      <alignment vertical="center"/>
      <protection locked="0"/>
    </xf>
    <xf numFmtId="170" fontId="11" fillId="5" borderId="15" xfId="1" applyNumberFormat="1" applyFont="1" applyFill="1" applyBorder="1" applyAlignment="1" applyProtection="1">
      <alignment vertical="center"/>
    </xf>
    <xf numFmtId="0" fontId="17" fillId="3" borderId="16" xfId="0" applyFont="1" applyFill="1" applyBorder="1" applyAlignment="1">
      <alignment vertical="center"/>
    </xf>
    <xf numFmtId="169" fontId="11" fillId="5" borderId="18" xfId="0" applyNumberFormat="1" applyFont="1" applyFill="1" applyBorder="1" applyAlignment="1">
      <alignment horizontal="left" vertical="center" wrapText="1" indent="1"/>
    </xf>
    <xf numFmtId="169" fontId="5" fillId="0" borderId="18" xfId="0" applyNumberFormat="1" applyFont="1" applyBorder="1" applyAlignment="1" applyProtection="1">
      <alignment horizontal="left" vertical="center" wrapText="1" indent="1"/>
      <protection locked="0"/>
    </xf>
    <xf numFmtId="168" fontId="4" fillId="0" borderId="8" xfId="0" applyNumberFormat="1" applyFont="1" applyBorder="1" applyAlignment="1" applyProtection="1">
      <alignment horizontal="center" vertical="center"/>
      <protection locked="0"/>
    </xf>
    <xf numFmtId="164" fontId="4" fillId="4" borderId="1" xfId="1" applyNumberFormat="1" applyFont="1" applyFill="1" applyBorder="1" applyAlignment="1" applyProtection="1">
      <alignment horizontal="right" vertical="center"/>
      <protection locked="0"/>
    </xf>
    <xf numFmtId="164" fontId="4" fillId="0" borderId="10" xfId="1" applyNumberFormat="1" applyFont="1" applyFill="1" applyBorder="1" applyAlignment="1" applyProtection="1">
      <alignment vertical="center"/>
      <protection locked="0"/>
    </xf>
    <xf numFmtId="170" fontId="4" fillId="6" borderId="14" xfId="1" applyNumberFormat="1" applyFont="1" applyFill="1" applyBorder="1" applyAlignment="1" applyProtection="1">
      <alignment horizontal="left" vertical="center"/>
      <protection locked="0"/>
    </xf>
    <xf numFmtId="170" fontId="5" fillId="7" borderId="14" xfId="1" applyNumberFormat="1" applyFont="1" applyFill="1" applyBorder="1" applyAlignment="1" applyProtection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10" fillId="17" borderId="1" xfId="0" applyFont="1" applyFill="1" applyBorder="1" applyAlignment="1">
      <alignment horizontal="left" vertical="center" wrapText="1" indent="1" readingOrder="1"/>
    </xf>
    <xf numFmtId="0" fontId="10" fillId="18" borderId="1" xfId="0" applyFont="1" applyFill="1" applyBorder="1" applyAlignment="1">
      <alignment horizontal="left" vertical="center" wrapText="1" indent="1" readingOrder="1"/>
    </xf>
    <xf numFmtId="0" fontId="20" fillId="19" borderId="20" xfId="0" applyFont="1" applyFill="1" applyBorder="1" applyAlignment="1">
      <alignment horizontal="left" vertical="center" wrapText="1"/>
    </xf>
    <xf numFmtId="0" fontId="20" fillId="20" borderId="20" xfId="0" applyFont="1" applyFill="1" applyBorder="1" applyAlignment="1">
      <alignment horizontal="left" vertical="center" wrapText="1"/>
    </xf>
    <xf numFmtId="0" fontId="20" fillId="23" borderId="20" xfId="0" applyFont="1" applyFill="1" applyBorder="1" applyAlignment="1">
      <alignment horizontal="left" vertical="center"/>
    </xf>
    <xf numFmtId="0" fontId="5" fillId="0" borderId="19" xfId="0" applyFont="1" applyBorder="1" applyAlignment="1" applyProtection="1">
      <alignment horizontal="left" vertical="center" wrapText="1" indent="1"/>
      <protection locked="0"/>
    </xf>
    <xf numFmtId="0" fontId="5" fillId="3" borderId="19" xfId="0" applyFont="1" applyFill="1" applyBorder="1" applyAlignment="1">
      <alignment horizontal="left" vertical="center" wrapText="1" indent="1"/>
    </xf>
    <xf numFmtId="169" fontId="5" fillId="0" borderId="19" xfId="0" applyNumberFormat="1" applyFont="1" applyBorder="1" applyAlignment="1" applyProtection="1">
      <alignment horizontal="left" vertical="center" wrapText="1" indent="1"/>
      <protection locked="0"/>
    </xf>
    <xf numFmtId="169" fontId="5" fillId="0" borderId="22" xfId="0" applyNumberFormat="1" applyFont="1" applyBorder="1" applyAlignment="1" applyProtection="1">
      <alignment horizontal="left" vertical="center" wrapText="1" indent="1"/>
      <protection locked="0"/>
    </xf>
    <xf numFmtId="168" fontId="4" fillId="0" borderId="23" xfId="0" applyNumberFormat="1" applyFont="1" applyBorder="1" applyAlignment="1" applyProtection="1">
      <alignment horizontal="center" vertical="center"/>
      <protection locked="0"/>
    </xf>
    <xf numFmtId="165" fontId="4" fillId="0" borderId="19" xfId="1" applyNumberFormat="1" applyFont="1" applyFill="1" applyBorder="1" applyAlignment="1" applyProtection="1">
      <alignment horizontal="right" vertical="center"/>
      <protection locked="0"/>
    </xf>
    <xf numFmtId="164" fontId="4" fillId="4" borderId="19" xfId="1" applyNumberFormat="1" applyFont="1" applyFill="1" applyBorder="1" applyAlignment="1" applyProtection="1">
      <alignment horizontal="right" vertical="center"/>
      <protection locked="0"/>
    </xf>
    <xf numFmtId="168" fontId="4" fillId="0" borderId="19" xfId="0" applyNumberFormat="1" applyFont="1" applyBorder="1" applyAlignment="1" applyProtection="1">
      <alignment horizontal="center" vertical="center"/>
      <protection locked="0"/>
    </xf>
    <xf numFmtId="164" fontId="4" fillId="0" borderId="19" xfId="0" applyNumberFormat="1" applyFont="1" applyBorder="1" applyAlignment="1" applyProtection="1">
      <alignment horizontal="right" vertical="center"/>
      <protection locked="0"/>
    </xf>
    <xf numFmtId="164" fontId="4" fillId="0" borderId="24" xfId="1" applyNumberFormat="1" applyFont="1" applyFill="1" applyBorder="1" applyAlignment="1" applyProtection="1">
      <alignment vertical="center"/>
      <protection locked="0"/>
    </xf>
    <xf numFmtId="170" fontId="4" fillId="6" borderId="26" xfId="1" applyNumberFormat="1" applyFont="1" applyFill="1" applyBorder="1" applyAlignment="1" applyProtection="1">
      <alignment horizontal="left" vertical="center"/>
      <protection locked="0"/>
    </xf>
    <xf numFmtId="170" fontId="5" fillId="7" borderId="26" xfId="1" applyNumberFormat="1" applyFont="1" applyFill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 wrapText="1" indent="1"/>
      <protection locked="0"/>
    </xf>
    <xf numFmtId="0" fontId="5" fillId="3" borderId="2" xfId="0" applyFont="1" applyFill="1" applyBorder="1" applyAlignment="1">
      <alignment horizontal="left" vertical="center" wrapText="1" indent="1"/>
    </xf>
    <xf numFmtId="169" fontId="5" fillId="0" borderId="2" xfId="0" applyNumberFormat="1" applyFont="1" applyBorder="1" applyAlignment="1" applyProtection="1">
      <alignment horizontal="left" vertical="center" wrapText="1" indent="1"/>
      <protection locked="0"/>
    </xf>
    <xf numFmtId="169" fontId="5" fillId="0" borderId="17" xfId="0" applyNumberFormat="1" applyFont="1" applyBorder="1" applyAlignment="1" applyProtection="1">
      <alignment horizontal="left" vertical="center" wrapText="1" indent="1"/>
      <protection locked="0"/>
    </xf>
    <xf numFmtId="168" fontId="4" fillId="0" borderId="27" xfId="0" applyNumberFormat="1" applyFont="1" applyBorder="1" applyAlignment="1" applyProtection="1">
      <alignment horizontal="center" vertical="center"/>
      <protection locked="0"/>
    </xf>
    <xf numFmtId="165" fontId="4" fillId="0" borderId="2" xfId="1" applyNumberFormat="1" applyFont="1" applyFill="1" applyBorder="1" applyAlignment="1" applyProtection="1">
      <alignment horizontal="right" vertical="center"/>
      <protection locked="0"/>
    </xf>
    <xf numFmtId="164" fontId="4" fillId="4" borderId="2" xfId="1" applyNumberFormat="1" applyFont="1" applyFill="1" applyBorder="1" applyAlignment="1" applyProtection="1">
      <alignment horizontal="right" vertical="center"/>
      <protection locked="0"/>
    </xf>
    <xf numFmtId="168" fontId="4" fillId="0" borderId="2" xfId="0" applyNumberFormat="1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right" vertical="center"/>
      <protection locked="0"/>
    </xf>
    <xf numFmtId="164" fontId="4" fillId="0" borderId="28" xfId="1" applyNumberFormat="1" applyFont="1" applyFill="1" applyBorder="1" applyAlignment="1" applyProtection="1">
      <alignment vertical="center"/>
      <protection locked="0"/>
    </xf>
    <xf numFmtId="170" fontId="5" fillId="0" borderId="29" xfId="1" applyNumberFormat="1" applyFont="1" applyFill="1" applyBorder="1" applyAlignment="1" applyProtection="1">
      <alignment vertical="center"/>
    </xf>
    <xf numFmtId="170" fontId="4" fillId="6" borderId="11" xfId="1" applyNumberFormat="1" applyFont="1" applyFill="1" applyBorder="1" applyAlignment="1" applyProtection="1">
      <alignment horizontal="left" vertical="center"/>
      <protection locked="0"/>
    </xf>
    <xf numFmtId="170" fontId="5" fillId="7" borderId="11" xfId="1" applyNumberFormat="1" applyFont="1" applyFill="1" applyBorder="1" applyAlignment="1" applyProtection="1">
      <alignment horizontal="left" vertical="center"/>
    </xf>
    <xf numFmtId="0" fontId="20" fillId="21" borderId="20" xfId="0" applyFont="1" applyFill="1" applyBorder="1" applyAlignment="1">
      <alignment horizontal="left" vertical="center" wrapText="1"/>
    </xf>
    <xf numFmtId="0" fontId="20" fillId="22" borderId="20" xfId="0" applyFont="1" applyFill="1" applyBorder="1" applyAlignment="1">
      <alignment horizontal="left" vertical="center" wrapText="1"/>
    </xf>
    <xf numFmtId="0" fontId="22" fillId="24" borderId="20" xfId="0" applyFont="1" applyFill="1" applyBorder="1" applyAlignment="1">
      <alignment horizontal="left" vertical="center" wrapText="1"/>
    </xf>
    <xf numFmtId="0" fontId="22" fillId="25" borderId="20" xfId="0" applyFont="1" applyFill="1" applyBorder="1" applyAlignment="1">
      <alignment horizontal="left" vertical="center" wrapText="1"/>
    </xf>
    <xf numFmtId="0" fontId="20" fillId="26" borderId="20" xfId="0" applyFont="1" applyFill="1" applyBorder="1" applyAlignment="1">
      <alignment horizontal="left" vertical="center" wrapText="1"/>
    </xf>
    <xf numFmtId="0" fontId="20" fillId="27" borderId="20" xfId="0" applyFont="1" applyFill="1" applyBorder="1" applyAlignment="1">
      <alignment horizontal="left" vertical="center" wrapText="1"/>
    </xf>
    <xf numFmtId="0" fontId="20" fillId="28" borderId="20" xfId="0" applyFont="1" applyFill="1" applyBorder="1" applyAlignment="1">
      <alignment horizontal="left" vertical="center" wrapText="1"/>
    </xf>
    <xf numFmtId="0" fontId="20" fillId="29" borderId="20" xfId="0" applyFont="1" applyFill="1" applyBorder="1" applyAlignment="1">
      <alignment horizontal="left" vertical="center" wrapText="1"/>
    </xf>
    <xf numFmtId="0" fontId="20" fillId="19" borderId="20" xfId="0" applyFont="1" applyFill="1" applyBorder="1" applyAlignment="1">
      <alignment vertical="center"/>
    </xf>
    <xf numFmtId="0" fontId="22" fillId="24" borderId="20" xfId="0" applyFont="1" applyFill="1" applyBorder="1" applyAlignment="1">
      <alignment vertical="center"/>
    </xf>
    <xf numFmtId="0" fontId="22" fillId="25" borderId="20" xfId="0" applyFont="1" applyFill="1" applyBorder="1" applyAlignment="1">
      <alignment vertical="center"/>
    </xf>
    <xf numFmtId="0" fontId="20" fillId="26" borderId="20" xfId="0" applyFont="1" applyFill="1" applyBorder="1" applyAlignment="1">
      <alignment vertical="center"/>
    </xf>
    <xf numFmtId="0" fontId="20" fillId="27" borderId="20" xfId="0" applyFont="1" applyFill="1" applyBorder="1" applyAlignment="1">
      <alignment vertical="center"/>
    </xf>
    <xf numFmtId="0" fontId="20" fillId="28" borderId="20" xfId="0" applyFont="1" applyFill="1" applyBorder="1" applyAlignment="1">
      <alignment vertical="center"/>
    </xf>
    <xf numFmtId="0" fontId="20" fillId="20" borderId="20" xfId="0" applyFont="1" applyFill="1" applyBorder="1" applyAlignment="1">
      <alignment vertical="center" wrapText="1"/>
    </xf>
    <xf numFmtId="0" fontId="21" fillId="21" borderId="20" xfId="0" applyFont="1" applyFill="1" applyBorder="1" applyAlignment="1">
      <alignment vertical="center" wrapText="1" readingOrder="1"/>
    </xf>
    <xf numFmtId="0" fontId="20" fillId="22" borderId="20" xfId="0" applyFont="1" applyFill="1" applyBorder="1" applyAlignment="1">
      <alignment vertical="center" wrapText="1" readingOrder="1"/>
    </xf>
    <xf numFmtId="0" fontId="20" fillId="23" borderId="20" xfId="0" applyFont="1" applyFill="1" applyBorder="1" applyAlignment="1">
      <alignment vertical="center"/>
    </xf>
    <xf numFmtId="0" fontId="20" fillId="29" borderId="20" xfId="0" applyFont="1" applyFill="1" applyBorder="1" applyAlignment="1">
      <alignment vertical="center"/>
    </xf>
    <xf numFmtId="0" fontId="11" fillId="2" borderId="30" xfId="0" applyFont="1" applyFill="1" applyBorder="1" applyAlignment="1">
      <alignment horizontal="left" vertical="center" wrapText="1" inden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5" fillId="30" borderId="19" xfId="0" applyFont="1" applyFill="1" applyBorder="1" applyAlignment="1" applyProtection="1">
      <alignment horizontal="left" vertical="center" wrapText="1" indent="1"/>
      <protection locked="0"/>
    </xf>
    <xf numFmtId="0" fontId="5" fillId="30" borderId="19" xfId="0" applyFont="1" applyFill="1" applyBorder="1" applyAlignment="1">
      <alignment horizontal="left" vertical="center" wrapText="1" indent="1"/>
    </xf>
    <xf numFmtId="169" fontId="5" fillId="30" borderId="19" xfId="0" applyNumberFormat="1" applyFont="1" applyFill="1" applyBorder="1" applyAlignment="1" applyProtection="1">
      <alignment horizontal="left" vertical="center" wrapText="1" indent="1"/>
      <protection locked="0"/>
    </xf>
    <xf numFmtId="169" fontId="5" fillId="30" borderId="22" xfId="0" applyNumberFormat="1" applyFont="1" applyFill="1" applyBorder="1" applyAlignment="1" applyProtection="1">
      <alignment horizontal="left" vertical="center" wrapText="1" indent="1"/>
      <protection locked="0"/>
    </xf>
    <xf numFmtId="168" fontId="4" fillId="30" borderId="23" xfId="0" applyNumberFormat="1" applyFont="1" applyFill="1" applyBorder="1" applyAlignment="1" applyProtection="1">
      <alignment horizontal="center" vertical="center"/>
      <protection locked="0"/>
    </xf>
    <xf numFmtId="165" fontId="4" fillId="30" borderId="19" xfId="1" applyNumberFormat="1" applyFont="1" applyFill="1" applyBorder="1" applyAlignment="1" applyProtection="1">
      <alignment horizontal="right" vertical="center"/>
      <protection locked="0"/>
    </xf>
    <xf numFmtId="164" fontId="4" fillId="30" borderId="19" xfId="1" applyNumberFormat="1" applyFont="1" applyFill="1" applyBorder="1" applyAlignment="1" applyProtection="1">
      <alignment horizontal="right" vertical="center"/>
      <protection locked="0"/>
    </xf>
    <xf numFmtId="168" fontId="4" fillId="30" borderId="19" xfId="0" applyNumberFormat="1" applyFont="1" applyFill="1" applyBorder="1" applyAlignment="1" applyProtection="1">
      <alignment horizontal="center" vertical="center"/>
      <protection locked="0"/>
    </xf>
    <xf numFmtId="164" fontId="4" fillId="30" borderId="19" xfId="0" applyNumberFormat="1" applyFont="1" applyFill="1" applyBorder="1" applyAlignment="1" applyProtection="1">
      <alignment horizontal="right" vertical="center"/>
      <protection locked="0"/>
    </xf>
    <xf numFmtId="164" fontId="4" fillId="30" borderId="24" xfId="1" applyNumberFormat="1" applyFont="1" applyFill="1" applyBorder="1" applyAlignment="1" applyProtection="1">
      <alignment vertical="center"/>
      <protection locked="0"/>
    </xf>
    <xf numFmtId="170" fontId="5" fillId="30" borderId="29" xfId="1" applyNumberFormat="1" applyFont="1" applyFill="1" applyBorder="1" applyAlignment="1" applyProtection="1">
      <alignment vertical="center"/>
    </xf>
    <xf numFmtId="170" fontId="4" fillId="30" borderId="26" xfId="1" applyNumberFormat="1" applyFont="1" applyFill="1" applyBorder="1" applyAlignment="1" applyProtection="1">
      <alignment horizontal="left" vertical="center"/>
      <protection locked="0"/>
    </xf>
    <xf numFmtId="170" fontId="5" fillId="30" borderId="26" xfId="1" applyNumberFormat="1" applyFont="1" applyFill="1" applyBorder="1" applyAlignment="1" applyProtection="1">
      <alignment horizontal="left" vertical="center"/>
    </xf>
    <xf numFmtId="0" fontId="5" fillId="30" borderId="1" xfId="0" applyFont="1" applyFill="1" applyBorder="1" applyAlignment="1" applyProtection="1">
      <alignment horizontal="left" vertical="center" wrapText="1" indent="1"/>
      <protection locked="0"/>
    </xf>
    <xf numFmtId="169" fontId="5" fillId="30" borderId="1" xfId="0" applyNumberFormat="1" applyFont="1" applyFill="1" applyBorder="1" applyAlignment="1" applyProtection="1">
      <alignment horizontal="left" vertical="center" wrapText="1" indent="1"/>
      <protection locked="0"/>
    </xf>
    <xf numFmtId="169" fontId="5" fillId="30" borderId="18" xfId="0" applyNumberFormat="1" applyFont="1" applyFill="1" applyBorder="1" applyAlignment="1" applyProtection="1">
      <alignment horizontal="left" vertical="center" wrapText="1" indent="1"/>
      <protection locked="0"/>
    </xf>
    <xf numFmtId="168" fontId="4" fillId="30" borderId="8" xfId="0" applyNumberFormat="1" applyFont="1" applyFill="1" applyBorder="1" applyAlignment="1" applyProtection="1">
      <alignment horizontal="center" vertical="center"/>
      <protection locked="0"/>
    </xf>
    <xf numFmtId="165" fontId="4" fillId="30" borderId="1" xfId="1" applyNumberFormat="1" applyFont="1" applyFill="1" applyBorder="1" applyAlignment="1" applyProtection="1">
      <alignment horizontal="right" vertical="center"/>
      <protection locked="0"/>
    </xf>
    <xf numFmtId="164" fontId="4" fillId="30" borderId="1" xfId="1" applyNumberFormat="1" applyFont="1" applyFill="1" applyBorder="1" applyAlignment="1" applyProtection="1">
      <alignment horizontal="right" vertical="center"/>
      <protection locked="0"/>
    </xf>
    <xf numFmtId="168" fontId="4" fillId="30" borderId="1" xfId="0" applyNumberFormat="1" applyFont="1" applyFill="1" applyBorder="1" applyAlignment="1" applyProtection="1">
      <alignment horizontal="center" vertical="center"/>
      <protection locked="0"/>
    </xf>
    <xf numFmtId="164" fontId="4" fillId="30" borderId="1" xfId="0" applyNumberFormat="1" applyFont="1" applyFill="1" applyBorder="1" applyAlignment="1" applyProtection="1">
      <alignment horizontal="right" vertical="center"/>
      <protection locked="0"/>
    </xf>
    <xf numFmtId="164" fontId="4" fillId="30" borderId="10" xfId="1" applyNumberFormat="1" applyFont="1" applyFill="1" applyBorder="1" applyAlignment="1" applyProtection="1">
      <alignment vertical="center"/>
      <protection locked="0"/>
    </xf>
    <xf numFmtId="170" fontId="4" fillId="30" borderId="14" xfId="1" applyNumberFormat="1" applyFont="1" applyFill="1" applyBorder="1" applyAlignment="1" applyProtection="1">
      <alignment horizontal="left" vertical="center"/>
      <protection locked="0"/>
    </xf>
    <xf numFmtId="170" fontId="5" fillId="30" borderId="14" xfId="1" applyNumberFormat="1" applyFont="1" applyFill="1" applyBorder="1" applyAlignment="1" applyProtection="1">
      <alignment horizontal="left" vertical="center"/>
    </xf>
    <xf numFmtId="0" fontId="5" fillId="30" borderId="2" xfId="0" applyFont="1" applyFill="1" applyBorder="1" applyAlignment="1" applyProtection="1">
      <alignment horizontal="left" vertical="center" wrapText="1" indent="1"/>
      <protection locked="0"/>
    </xf>
    <xf numFmtId="169" fontId="5" fillId="30" borderId="2" xfId="0" applyNumberFormat="1" applyFont="1" applyFill="1" applyBorder="1" applyAlignment="1" applyProtection="1">
      <alignment horizontal="left" vertical="center" wrapText="1" indent="1"/>
      <protection locked="0"/>
    </xf>
    <xf numFmtId="169" fontId="5" fillId="30" borderId="17" xfId="0" applyNumberFormat="1" applyFont="1" applyFill="1" applyBorder="1" applyAlignment="1" applyProtection="1">
      <alignment horizontal="left" vertical="center" wrapText="1" indent="1"/>
      <protection locked="0"/>
    </xf>
    <xf numFmtId="168" fontId="4" fillId="30" borderId="27" xfId="0" applyNumberFormat="1" applyFont="1" applyFill="1" applyBorder="1" applyAlignment="1" applyProtection="1">
      <alignment horizontal="center" vertical="center"/>
      <protection locked="0"/>
    </xf>
    <xf numFmtId="165" fontId="4" fillId="30" borderId="2" xfId="1" applyNumberFormat="1" applyFont="1" applyFill="1" applyBorder="1" applyAlignment="1" applyProtection="1">
      <alignment horizontal="right" vertical="center"/>
      <protection locked="0"/>
    </xf>
    <xf numFmtId="164" fontId="4" fillId="30" borderId="2" xfId="1" applyNumberFormat="1" applyFont="1" applyFill="1" applyBorder="1" applyAlignment="1" applyProtection="1">
      <alignment horizontal="right" vertical="center"/>
      <protection locked="0"/>
    </xf>
    <xf numFmtId="168" fontId="4" fillId="30" borderId="2" xfId="0" applyNumberFormat="1" applyFont="1" applyFill="1" applyBorder="1" applyAlignment="1" applyProtection="1">
      <alignment horizontal="center" vertical="center"/>
      <protection locked="0"/>
    </xf>
    <xf numFmtId="164" fontId="4" fillId="30" borderId="2" xfId="0" applyNumberFormat="1" applyFont="1" applyFill="1" applyBorder="1" applyAlignment="1" applyProtection="1">
      <alignment horizontal="right" vertical="center"/>
      <protection locked="0"/>
    </xf>
    <xf numFmtId="164" fontId="4" fillId="30" borderId="28" xfId="1" applyNumberFormat="1" applyFont="1" applyFill="1" applyBorder="1" applyAlignment="1" applyProtection="1">
      <alignment vertical="center"/>
      <protection locked="0"/>
    </xf>
    <xf numFmtId="170" fontId="4" fillId="30" borderId="11" xfId="1" applyNumberFormat="1" applyFont="1" applyFill="1" applyBorder="1" applyAlignment="1" applyProtection="1">
      <alignment horizontal="left" vertical="center"/>
      <protection locked="0"/>
    </xf>
    <xf numFmtId="170" fontId="5" fillId="30" borderId="11" xfId="1" applyNumberFormat="1" applyFont="1" applyFill="1" applyBorder="1" applyAlignment="1" applyProtection="1">
      <alignment horizontal="left" vertical="center"/>
    </xf>
  </cellXfs>
  <cellStyles count="11">
    <cellStyle name="Hipervínculo visitado" xfId="2" builtinId="9" hidden="1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Moneda" xfId="1" builtinId="4"/>
    <cellStyle name="Normal" xfId="0" builtinId="0"/>
    <cellStyle name="Normal 2" xfId="7" xr:uid="{096755C3-0BB5-E94E-8E6C-945830891248}"/>
    <cellStyle name="Normal 2 2" xfId="9" xr:uid="{5AF233B9-62DA-4EA6-8617-5967818E4B58}"/>
    <cellStyle name="Normal 3" xfId="10" xr:uid="{DFF8858B-492B-4B8C-8506-F2C126920F9A}"/>
    <cellStyle name="Normal 4" xfId="8" xr:uid="{A3117866-53A8-4E6B-982B-45083E270719}"/>
  </cellStyles>
  <dxfs count="35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510"/>
  <sheetViews>
    <sheetView showGridLines="0" tabSelected="1" zoomScale="80" zoomScaleNormal="80" workbookViewId="0">
      <pane xSplit="7" ySplit="9" topLeftCell="H10" activePane="bottomRight" state="frozen"/>
      <selection pane="topRight" activeCell="H1" sqref="H1"/>
      <selection pane="bottomLeft" activeCell="A10" sqref="A10"/>
      <selection pane="bottomRight" activeCell="F22" sqref="F22"/>
    </sheetView>
  </sheetViews>
  <sheetFormatPr baseColWidth="10" defaultColWidth="11" defaultRowHeight="12.5" x14ac:dyDescent="0.25"/>
  <cols>
    <col min="1" max="1" width="3.08203125" style="5" customWidth="1"/>
    <col min="2" max="2" width="13.83203125" style="5" customWidth="1"/>
    <col min="3" max="3" width="35" style="5" bestFit="1" customWidth="1"/>
    <col min="4" max="4" width="12.83203125" style="5" customWidth="1"/>
    <col min="5" max="5" width="11.58203125" style="5" customWidth="1"/>
    <col min="6" max="6" width="12.1640625" style="5" customWidth="1"/>
    <col min="7" max="7" width="11.58203125" style="5" customWidth="1"/>
    <col min="8" max="8" width="8.83203125" style="5" customWidth="1"/>
    <col min="9" max="9" width="10" style="5" customWidth="1"/>
    <col min="10" max="10" width="13.58203125" style="5" bestFit="1" customWidth="1"/>
    <col min="11" max="11" width="12.58203125" style="5" customWidth="1"/>
    <col min="12" max="13" width="13" style="5" bestFit="1" customWidth="1"/>
    <col min="14" max="15" width="11.83203125" style="5" customWidth="1"/>
    <col min="16" max="16" width="15.75" style="5" customWidth="1"/>
    <col min="17" max="17" width="17.1640625" style="5" customWidth="1"/>
    <col min="18" max="18" width="14.33203125" style="5" bestFit="1" customWidth="1"/>
    <col min="19" max="19" width="16.9140625" style="5" bestFit="1" customWidth="1"/>
    <col min="20" max="20" width="3.08203125" style="5" customWidth="1"/>
    <col min="21" max="16384" width="11" style="5"/>
  </cols>
  <sheetData>
    <row r="1" spans="1:41" ht="29.5" thickBot="1" x14ac:dyDescent="0.3">
      <c r="A1" s="4"/>
      <c r="B1" s="33" t="s">
        <v>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8"/>
      <c r="P1" s="8"/>
      <c r="Q1" s="8"/>
      <c r="R1" s="8"/>
      <c r="S1" s="8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s="10" customFormat="1" ht="16" x14ac:dyDescent="0.35">
      <c r="A2" s="9"/>
      <c r="B2" s="37" t="s">
        <v>3</v>
      </c>
      <c r="C2" s="37"/>
      <c r="D2" s="37"/>
      <c r="E2" s="37"/>
      <c r="F2" s="37"/>
      <c r="G2" s="47"/>
      <c r="H2" s="114" t="s">
        <v>4</v>
      </c>
      <c r="I2" s="115"/>
      <c r="J2" s="115"/>
      <c r="K2" s="115" t="s">
        <v>5</v>
      </c>
      <c r="L2" s="115"/>
      <c r="M2" s="115"/>
      <c r="N2" s="116" t="s">
        <v>6</v>
      </c>
      <c r="O2" s="117"/>
      <c r="P2" s="118"/>
      <c r="Q2" s="119" t="s">
        <v>7</v>
      </c>
      <c r="R2" s="117"/>
      <c r="S2" s="120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50" x14ac:dyDescent="0.35">
      <c r="A3" s="9"/>
      <c r="B3" s="105" t="s">
        <v>8</v>
      </c>
      <c r="C3" s="105" t="s">
        <v>9</v>
      </c>
      <c r="D3" s="105" t="s">
        <v>10</v>
      </c>
      <c r="E3" s="106" t="s">
        <v>11</v>
      </c>
      <c r="F3" s="106" t="s">
        <v>12</v>
      </c>
      <c r="G3" s="107" t="s">
        <v>13</v>
      </c>
      <c r="H3" s="108" t="s">
        <v>14</v>
      </c>
      <c r="I3" s="109" t="s">
        <v>15</v>
      </c>
      <c r="J3" s="109" t="s">
        <v>16</v>
      </c>
      <c r="K3" s="106" t="s">
        <v>17</v>
      </c>
      <c r="L3" s="106" t="s">
        <v>18</v>
      </c>
      <c r="M3" s="106" t="s">
        <v>19</v>
      </c>
      <c r="N3" s="106" t="s">
        <v>20</v>
      </c>
      <c r="O3" s="106" t="s">
        <v>21</v>
      </c>
      <c r="P3" s="110" t="s">
        <v>22</v>
      </c>
      <c r="Q3" s="111" t="s">
        <v>23</v>
      </c>
      <c r="R3" s="112" t="s">
        <v>24</v>
      </c>
      <c r="S3" s="113" t="s">
        <v>25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16" x14ac:dyDescent="0.35">
      <c r="A4" s="9"/>
      <c r="B4" s="58">
        <v>1</v>
      </c>
      <c r="C4" s="94" t="s">
        <v>218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25" x14ac:dyDescent="0.35">
      <c r="A5" s="9"/>
      <c r="B5" s="73" t="s">
        <v>40</v>
      </c>
      <c r="C5" s="73" t="s">
        <v>131</v>
      </c>
      <c r="D5" s="74" t="s">
        <v>33</v>
      </c>
      <c r="E5" s="75">
        <v>46247</v>
      </c>
      <c r="F5" s="75">
        <v>46247</v>
      </c>
      <c r="G5" s="76">
        <v>46253</v>
      </c>
      <c r="H5" s="77">
        <v>6</v>
      </c>
      <c r="I5" s="78">
        <v>80000</v>
      </c>
      <c r="J5" s="79">
        <f>H5*I5</f>
        <v>480000</v>
      </c>
      <c r="K5" s="80">
        <v>0</v>
      </c>
      <c r="L5" s="78">
        <v>0</v>
      </c>
      <c r="M5" s="79">
        <f>K5*L5</f>
        <v>0</v>
      </c>
      <c r="N5" s="81">
        <v>0</v>
      </c>
      <c r="O5" s="81">
        <v>0</v>
      </c>
      <c r="P5" s="82">
        <v>0</v>
      </c>
      <c r="Q5" s="83">
        <f>J5+J5*0.2</f>
        <v>576000</v>
      </c>
      <c r="R5" s="84">
        <f>J5+M5+N5+O5+P5</f>
        <v>480000</v>
      </c>
      <c r="S5" s="85">
        <f t="shared" ref="S5:S104" si="0">R5-Q5</f>
        <v>-96000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10" customFormat="1" x14ac:dyDescent="0.35">
      <c r="A6" s="9"/>
      <c r="B6" s="34" t="s">
        <v>41</v>
      </c>
      <c r="C6" s="34" t="s">
        <v>132</v>
      </c>
      <c r="D6" s="16" t="s">
        <v>33</v>
      </c>
      <c r="E6" s="39">
        <v>46248</v>
      </c>
      <c r="F6" s="39">
        <v>46248</v>
      </c>
      <c r="G6" s="49">
        <v>46254</v>
      </c>
      <c r="H6" s="50">
        <v>12</v>
      </c>
      <c r="I6" s="41">
        <v>80000</v>
      </c>
      <c r="J6" s="51">
        <f t="shared" ref="J6:J104" si="1">H6*I6</f>
        <v>960000</v>
      </c>
      <c r="K6" s="40">
        <v>0</v>
      </c>
      <c r="L6" s="41">
        <v>0</v>
      </c>
      <c r="M6" s="51">
        <f t="shared" ref="M6:M104" si="2">K6*L6</f>
        <v>0</v>
      </c>
      <c r="N6" s="42">
        <v>0</v>
      </c>
      <c r="O6" s="42">
        <v>0</v>
      </c>
      <c r="P6" s="52">
        <v>0</v>
      </c>
      <c r="Q6" s="83">
        <f t="shared" ref="Q6:Q69" si="3">J6+J6*0.2</f>
        <v>1152000</v>
      </c>
      <c r="R6" s="53">
        <f t="shared" ref="R6:R104" si="4">J6+M6+N6+O6+P6</f>
        <v>960000</v>
      </c>
      <c r="S6" s="54">
        <f t="shared" si="0"/>
        <v>-192000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s="10" customFormat="1" ht="25" x14ac:dyDescent="0.35">
      <c r="A7" s="9"/>
      <c r="B7" s="34" t="s">
        <v>42</v>
      </c>
      <c r="C7" s="34" t="s">
        <v>133</v>
      </c>
      <c r="D7" s="16" t="s">
        <v>33</v>
      </c>
      <c r="E7" s="39">
        <v>46250</v>
      </c>
      <c r="F7" s="39">
        <v>46250</v>
      </c>
      <c r="G7" s="49">
        <v>46259</v>
      </c>
      <c r="H7" s="50">
        <v>16</v>
      </c>
      <c r="I7" s="41">
        <v>80000</v>
      </c>
      <c r="J7" s="51">
        <f t="shared" si="1"/>
        <v>1280000</v>
      </c>
      <c r="K7" s="40">
        <v>0</v>
      </c>
      <c r="L7" s="41">
        <v>0</v>
      </c>
      <c r="M7" s="51">
        <f t="shared" si="2"/>
        <v>0</v>
      </c>
      <c r="N7" s="42">
        <v>0</v>
      </c>
      <c r="O7" s="42">
        <v>0</v>
      </c>
      <c r="P7" s="52">
        <v>0</v>
      </c>
      <c r="Q7" s="83">
        <f t="shared" si="3"/>
        <v>1536000</v>
      </c>
      <c r="R7" s="53">
        <f t="shared" si="4"/>
        <v>1280000</v>
      </c>
      <c r="S7" s="54">
        <f t="shared" si="0"/>
        <v>-256000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x14ac:dyDescent="0.35">
      <c r="A8" s="9"/>
      <c r="B8" s="34" t="s">
        <v>43</v>
      </c>
      <c r="C8" s="34" t="s">
        <v>134</v>
      </c>
      <c r="D8" s="16" t="s">
        <v>33</v>
      </c>
      <c r="E8" s="39">
        <v>46251</v>
      </c>
      <c r="F8" s="39">
        <v>46251</v>
      </c>
      <c r="G8" s="49">
        <v>46253</v>
      </c>
      <c r="H8" s="50">
        <v>8</v>
      </c>
      <c r="I8" s="41">
        <v>80000</v>
      </c>
      <c r="J8" s="51">
        <f t="shared" si="1"/>
        <v>640000</v>
      </c>
      <c r="K8" s="40">
        <v>0</v>
      </c>
      <c r="L8" s="41">
        <v>0</v>
      </c>
      <c r="M8" s="51">
        <f t="shared" si="2"/>
        <v>0</v>
      </c>
      <c r="N8" s="42">
        <v>0</v>
      </c>
      <c r="O8" s="42">
        <v>0</v>
      </c>
      <c r="P8" s="52">
        <v>0</v>
      </c>
      <c r="Q8" s="83">
        <f t="shared" si="3"/>
        <v>768000</v>
      </c>
      <c r="R8" s="53">
        <f t="shared" si="4"/>
        <v>640000</v>
      </c>
      <c r="S8" s="54">
        <f t="shared" si="0"/>
        <v>-128000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s="10" customFormat="1" ht="25" x14ac:dyDescent="0.35">
      <c r="A9" s="9"/>
      <c r="B9" s="34" t="s">
        <v>44</v>
      </c>
      <c r="C9" s="34" t="s">
        <v>135</v>
      </c>
      <c r="D9" s="16" t="s">
        <v>33</v>
      </c>
      <c r="E9" s="39">
        <v>46253</v>
      </c>
      <c r="F9" s="39">
        <v>46253</v>
      </c>
      <c r="G9" s="49">
        <v>46253</v>
      </c>
      <c r="H9" s="50">
        <v>16</v>
      </c>
      <c r="I9" s="41">
        <v>80000</v>
      </c>
      <c r="J9" s="51">
        <f t="shared" si="1"/>
        <v>1280000</v>
      </c>
      <c r="K9" s="40">
        <v>0</v>
      </c>
      <c r="L9" s="41">
        <v>0</v>
      </c>
      <c r="M9" s="51">
        <f t="shared" si="2"/>
        <v>0</v>
      </c>
      <c r="N9" s="42">
        <v>0</v>
      </c>
      <c r="O9" s="42">
        <v>0</v>
      </c>
      <c r="P9" s="52">
        <v>0</v>
      </c>
      <c r="Q9" s="83">
        <f t="shared" si="3"/>
        <v>1536000</v>
      </c>
      <c r="R9" s="53">
        <f t="shared" si="4"/>
        <v>1280000</v>
      </c>
      <c r="S9" s="54">
        <f t="shared" si="0"/>
        <v>-256000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25" x14ac:dyDescent="0.35">
      <c r="A10" s="9"/>
      <c r="B10" s="61" t="s">
        <v>45</v>
      </c>
      <c r="C10" s="61" t="s">
        <v>136</v>
      </c>
      <c r="D10" s="62" t="s">
        <v>32</v>
      </c>
      <c r="E10" s="63">
        <v>46254</v>
      </c>
      <c r="F10" s="63">
        <v>46254</v>
      </c>
      <c r="G10" s="64">
        <v>46254</v>
      </c>
      <c r="H10" s="65">
        <v>12</v>
      </c>
      <c r="I10" s="66">
        <v>80000</v>
      </c>
      <c r="J10" s="67">
        <f t="shared" si="1"/>
        <v>960000</v>
      </c>
      <c r="K10" s="68">
        <v>0</v>
      </c>
      <c r="L10" s="66">
        <v>0</v>
      </c>
      <c r="M10" s="67">
        <f t="shared" si="2"/>
        <v>0</v>
      </c>
      <c r="N10" s="69">
        <v>0</v>
      </c>
      <c r="O10" s="69">
        <v>0</v>
      </c>
      <c r="P10" s="70">
        <v>0</v>
      </c>
      <c r="Q10" s="83">
        <f t="shared" si="3"/>
        <v>1152000</v>
      </c>
      <c r="R10" s="71">
        <f t="shared" si="4"/>
        <v>960000</v>
      </c>
      <c r="S10" s="72">
        <f t="shared" si="0"/>
        <v>-192000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10" customFormat="1" ht="16" x14ac:dyDescent="0.35">
      <c r="A11" s="9"/>
      <c r="B11" s="59">
        <v>2</v>
      </c>
      <c r="C11" s="100" t="s">
        <v>219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s="10" customFormat="1" ht="25" x14ac:dyDescent="0.35">
      <c r="A12" s="9"/>
      <c r="B12" s="73" t="s">
        <v>46</v>
      </c>
      <c r="C12" s="73" t="s">
        <v>137</v>
      </c>
      <c r="D12" s="62" t="s">
        <v>33</v>
      </c>
      <c r="E12" s="75">
        <v>46255</v>
      </c>
      <c r="F12" s="75">
        <v>46255</v>
      </c>
      <c r="G12" s="76">
        <v>46258</v>
      </c>
      <c r="H12" s="77">
        <v>24</v>
      </c>
      <c r="I12" s="78">
        <v>65000</v>
      </c>
      <c r="J12" s="79">
        <f t="shared" si="1"/>
        <v>1560000</v>
      </c>
      <c r="K12" s="80">
        <v>0</v>
      </c>
      <c r="L12" s="78">
        <v>0</v>
      </c>
      <c r="M12" s="79">
        <f t="shared" si="2"/>
        <v>0</v>
      </c>
      <c r="N12" s="81">
        <v>0</v>
      </c>
      <c r="O12" s="81">
        <v>0</v>
      </c>
      <c r="P12" s="82">
        <v>0</v>
      </c>
      <c r="Q12" s="83">
        <f t="shared" si="3"/>
        <v>1872000</v>
      </c>
      <c r="R12" s="84">
        <f t="shared" si="4"/>
        <v>1560000</v>
      </c>
      <c r="S12" s="85">
        <f t="shared" si="0"/>
        <v>-312000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s="10" customFormat="1" ht="25" x14ac:dyDescent="0.35">
      <c r="A13" s="9"/>
      <c r="B13" s="34" t="s">
        <v>47</v>
      </c>
      <c r="C13" s="34" t="s">
        <v>138</v>
      </c>
      <c r="D13" s="62" t="s">
        <v>33</v>
      </c>
      <c r="E13" s="39">
        <v>46255</v>
      </c>
      <c r="F13" s="39">
        <v>46255</v>
      </c>
      <c r="G13" s="49">
        <v>46258</v>
      </c>
      <c r="H13" s="50">
        <v>16</v>
      </c>
      <c r="I13" s="41">
        <v>65000</v>
      </c>
      <c r="J13" s="51">
        <f t="shared" si="1"/>
        <v>1040000</v>
      </c>
      <c r="K13" s="40">
        <v>0</v>
      </c>
      <c r="L13" s="41">
        <v>0</v>
      </c>
      <c r="M13" s="51">
        <f t="shared" si="2"/>
        <v>0</v>
      </c>
      <c r="N13" s="42">
        <v>0</v>
      </c>
      <c r="O13" s="42">
        <v>0</v>
      </c>
      <c r="P13" s="52">
        <v>0</v>
      </c>
      <c r="Q13" s="83">
        <f t="shared" si="3"/>
        <v>1248000</v>
      </c>
      <c r="R13" s="53">
        <f t="shared" ref="R13:R22" si="5">J13+M13+N13+O13+P13</f>
        <v>1040000</v>
      </c>
      <c r="S13" s="54">
        <f t="shared" ref="S13:S22" si="6">R13-Q13</f>
        <v>-208000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0" customFormat="1" ht="25" x14ac:dyDescent="0.35">
      <c r="A14" s="9"/>
      <c r="B14" s="34" t="s">
        <v>48</v>
      </c>
      <c r="C14" s="34" t="s">
        <v>139</v>
      </c>
      <c r="D14" s="62" t="s">
        <v>33</v>
      </c>
      <c r="E14" s="39">
        <v>46260</v>
      </c>
      <c r="F14" s="39">
        <v>46260</v>
      </c>
      <c r="G14" s="49">
        <v>46260</v>
      </c>
      <c r="H14" s="50">
        <v>24</v>
      </c>
      <c r="I14" s="41">
        <v>65000</v>
      </c>
      <c r="J14" s="51">
        <f t="shared" si="1"/>
        <v>1560000</v>
      </c>
      <c r="K14" s="40">
        <v>0</v>
      </c>
      <c r="L14" s="41">
        <v>0</v>
      </c>
      <c r="M14" s="51">
        <f t="shared" si="2"/>
        <v>0</v>
      </c>
      <c r="N14" s="42">
        <v>0</v>
      </c>
      <c r="O14" s="42">
        <v>0</v>
      </c>
      <c r="P14" s="52">
        <v>0</v>
      </c>
      <c r="Q14" s="83">
        <f t="shared" si="3"/>
        <v>1872000</v>
      </c>
      <c r="R14" s="53">
        <f t="shared" si="5"/>
        <v>1560000</v>
      </c>
      <c r="S14" s="54">
        <f t="shared" si="6"/>
        <v>-312000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0" customFormat="1" x14ac:dyDescent="0.35">
      <c r="A15" s="9"/>
      <c r="B15" s="34" t="s">
        <v>49</v>
      </c>
      <c r="C15" s="34" t="s">
        <v>140</v>
      </c>
      <c r="D15" s="62" t="s">
        <v>33</v>
      </c>
      <c r="E15" s="39">
        <v>46261</v>
      </c>
      <c r="F15" s="39">
        <v>46261</v>
      </c>
      <c r="G15" s="49">
        <v>46261</v>
      </c>
      <c r="H15" s="50">
        <v>8</v>
      </c>
      <c r="I15" s="41">
        <v>65000</v>
      </c>
      <c r="J15" s="51">
        <f t="shared" si="1"/>
        <v>520000</v>
      </c>
      <c r="K15" s="40">
        <v>0</v>
      </c>
      <c r="L15" s="41">
        <v>0</v>
      </c>
      <c r="M15" s="51">
        <f t="shared" si="2"/>
        <v>0</v>
      </c>
      <c r="N15" s="42">
        <v>0</v>
      </c>
      <c r="O15" s="42">
        <v>0</v>
      </c>
      <c r="P15" s="52">
        <v>0</v>
      </c>
      <c r="Q15" s="83">
        <f t="shared" si="3"/>
        <v>624000</v>
      </c>
      <c r="R15" s="53">
        <f t="shared" si="5"/>
        <v>520000</v>
      </c>
      <c r="S15" s="54">
        <f t="shared" si="6"/>
        <v>-104000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s="10" customFormat="1" ht="25" x14ac:dyDescent="0.35">
      <c r="A16" s="9"/>
      <c r="B16" s="61" t="s">
        <v>50</v>
      </c>
      <c r="C16" s="61" t="s">
        <v>141</v>
      </c>
      <c r="D16" s="62" t="s">
        <v>33</v>
      </c>
      <c r="E16" s="63">
        <v>46262</v>
      </c>
      <c r="F16" s="63" t="s">
        <v>231</v>
      </c>
      <c r="G16" s="64">
        <v>46262</v>
      </c>
      <c r="H16" s="65">
        <v>4</v>
      </c>
      <c r="I16" s="66">
        <v>65000</v>
      </c>
      <c r="J16" s="67">
        <f t="shared" si="1"/>
        <v>260000</v>
      </c>
      <c r="K16" s="68">
        <v>0</v>
      </c>
      <c r="L16" s="66">
        <v>0</v>
      </c>
      <c r="M16" s="67">
        <f t="shared" si="2"/>
        <v>0</v>
      </c>
      <c r="N16" s="69">
        <v>0</v>
      </c>
      <c r="O16" s="69">
        <v>0</v>
      </c>
      <c r="P16" s="70">
        <v>0</v>
      </c>
      <c r="Q16" s="83">
        <f t="shared" si="3"/>
        <v>312000</v>
      </c>
      <c r="R16" s="71">
        <f t="shared" si="5"/>
        <v>260000</v>
      </c>
      <c r="S16" s="72">
        <f t="shared" si="6"/>
        <v>-52000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s="10" customFormat="1" ht="16" x14ac:dyDescent="0.35">
      <c r="A17" s="9"/>
      <c r="B17" s="86">
        <v>3</v>
      </c>
      <c r="C17" s="101" t="s">
        <v>220</v>
      </c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s="10" customFormat="1" ht="25" x14ac:dyDescent="0.35">
      <c r="A18" s="9"/>
      <c r="B18" s="73" t="s">
        <v>51</v>
      </c>
      <c r="C18" s="73" t="s">
        <v>142</v>
      </c>
      <c r="D18" s="62" t="s">
        <v>33</v>
      </c>
      <c r="E18" s="75">
        <v>46263</v>
      </c>
      <c r="F18" s="75">
        <v>46263</v>
      </c>
      <c r="G18" s="76">
        <v>46264</v>
      </c>
      <c r="H18" s="77">
        <v>12</v>
      </c>
      <c r="I18" s="78">
        <v>65000</v>
      </c>
      <c r="J18" s="79">
        <f t="shared" si="1"/>
        <v>780000</v>
      </c>
      <c r="K18" s="80">
        <v>0</v>
      </c>
      <c r="L18" s="78">
        <v>0</v>
      </c>
      <c r="M18" s="79">
        <f t="shared" si="2"/>
        <v>0</v>
      </c>
      <c r="N18" s="81">
        <v>0</v>
      </c>
      <c r="O18" s="81">
        <v>0</v>
      </c>
      <c r="P18" s="82">
        <v>0</v>
      </c>
      <c r="Q18" s="83">
        <f t="shared" si="3"/>
        <v>936000</v>
      </c>
      <c r="R18" s="84">
        <f t="shared" si="5"/>
        <v>780000</v>
      </c>
      <c r="S18" s="85">
        <f t="shared" si="6"/>
        <v>-156000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s="10" customFormat="1" ht="25" x14ac:dyDescent="0.35">
      <c r="A19" s="9"/>
      <c r="B19" s="34" t="s">
        <v>52</v>
      </c>
      <c r="C19" s="34" t="s">
        <v>143</v>
      </c>
      <c r="D19" s="62" t="s">
        <v>33</v>
      </c>
      <c r="E19" s="39">
        <v>46265</v>
      </c>
      <c r="F19" s="39">
        <v>46031</v>
      </c>
      <c r="G19" s="49">
        <v>46266</v>
      </c>
      <c r="H19" s="50">
        <v>24</v>
      </c>
      <c r="I19" s="41">
        <v>65000</v>
      </c>
      <c r="J19" s="51">
        <f t="shared" si="1"/>
        <v>1560000</v>
      </c>
      <c r="K19" s="40">
        <v>0</v>
      </c>
      <c r="L19" s="41">
        <v>0</v>
      </c>
      <c r="M19" s="51">
        <f t="shared" si="2"/>
        <v>0</v>
      </c>
      <c r="N19" s="42">
        <v>0</v>
      </c>
      <c r="O19" s="42">
        <v>0</v>
      </c>
      <c r="P19" s="52">
        <v>0</v>
      </c>
      <c r="Q19" s="83">
        <f t="shared" si="3"/>
        <v>1872000</v>
      </c>
      <c r="R19" s="53">
        <f t="shared" si="5"/>
        <v>1560000</v>
      </c>
      <c r="S19" s="54">
        <f t="shared" si="6"/>
        <v>-312000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s="10" customFormat="1" ht="25" x14ac:dyDescent="0.35">
      <c r="A20" s="9"/>
      <c r="B20" s="34" t="s">
        <v>53</v>
      </c>
      <c r="C20" s="34" t="s">
        <v>144</v>
      </c>
      <c r="D20" s="62" t="s">
        <v>33</v>
      </c>
      <c r="E20" s="39">
        <v>46265</v>
      </c>
      <c r="F20" s="39">
        <v>46031</v>
      </c>
      <c r="G20" s="49">
        <v>46266</v>
      </c>
      <c r="H20" s="50">
        <v>16</v>
      </c>
      <c r="I20" s="41">
        <v>65000</v>
      </c>
      <c r="J20" s="51">
        <f t="shared" si="1"/>
        <v>1040000</v>
      </c>
      <c r="K20" s="40">
        <v>0</v>
      </c>
      <c r="L20" s="41">
        <v>0</v>
      </c>
      <c r="M20" s="51">
        <f t="shared" si="2"/>
        <v>0</v>
      </c>
      <c r="N20" s="42">
        <v>0</v>
      </c>
      <c r="O20" s="42">
        <v>0</v>
      </c>
      <c r="P20" s="52">
        <v>0</v>
      </c>
      <c r="Q20" s="83">
        <f t="shared" si="3"/>
        <v>1248000</v>
      </c>
      <c r="R20" s="53">
        <f t="shared" si="5"/>
        <v>1040000</v>
      </c>
      <c r="S20" s="54">
        <f t="shared" si="6"/>
        <v>-208000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s="10" customFormat="1" ht="25" x14ac:dyDescent="0.35">
      <c r="A21" s="9"/>
      <c r="B21" s="34" t="s">
        <v>54</v>
      </c>
      <c r="C21" s="34" t="s">
        <v>145</v>
      </c>
      <c r="D21" s="62" t="s">
        <v>33</v>
      </c>
      <c r="E21" s="39">
        <v>46267</v>
      </c>
      <c r="F21" s="39">
        <v>46031</v>
      </c>
      <c r="G21" s="49">
        <v>46268</v>
      </c>
      <c r="H21" s="50">
        <v>16</v>
      </c>
      <c r="I21" s="41">
        <v>65000</v>
      </c>
      <c r="J21" s="51">
        <f t="shared" si="1"/>
        <v>1040000</v>
      </c>
      <c r="K21" s="40">
        <v>0</v>
      </c>
      <c r="L21" s="41">
        <v>0</v>
      </c>
      <c r="M21" s="51">
        <f t="shared" si="2"/>
        <v>0</v>
      </c>
      <c r="N21" s="42">
        <v>0</v>
      </c>
      <c r="O21" s="42">
        <v>0</v>
      </c>
      <c r="P21" s="52">
        <v>0</v>
      </c>
      <c r="Q21" s="83">
        <f t="shared" si="3"/>
        <v>1248000</v>
      </c>
      <c r="R21" s="53">
        <f t="shared" si="5"/>
        <v>1040000</v>
      </c>
      <c r="S21" s="54">
        <f t="shared" si="6"/>
        <v>-208000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s="10" customFormat="1" ht="25" x14ac:dyDescent="0.35">
      <c r="A22" s="9"/>
      <c r="B22" s="34" t="s">
        <v>55</v>
      </c>
      <c r="C22" s="34" t="s">
        <v>146</v>
      </c>
      <c r="D22" s="62" t="s">
        <v>33</v>
      </c>
      <c r="E22" s="39">
        <v>46267</v>
      </c>
      <c r="F22" s="39">
        <v>46267</v>
      </c>
      <c r="G22" s="49">
        <v>46268</v>
      </c>
      <c r="H22" s="50">
        <v>21</v>
      </c>
      <c r="I22" s="41">
        <v>65000</v>
      </c>
      <c r="J22" s="51">
        <f t="shared" si="1"/>
        <v>1365000</v>
      </c>
      <c r="K22" s="40">
        <v>1</v>
      </c>
      <c r="L22" s="41">
        <v>1500000</v>
      </c>
      <c r="M22" s="51">
        <f t="shared" si="2"/>
        <v>1500000</v>
      </c>
      <c r="N22" s="42">
        <v>0</v>
      </c>
      <c r="O22" s="42">
        <v>14400000</v>
      </c>
      <c r="P22" s="52">
        <v>0</v>
      </c>
      <c r="Q22" s="83">
        <f t="shared" si="3"/>
        <v>1638000</v>
      </c>
      <c r="R22" s="53">
        <f t="shared" si="5"/>
        <v>17265000</v>
      </c>
      <c r="S22" s="54">
        <f t="shared" si="6"/>
        <v>15627000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s="10" customFormat="1" ht="25" x14ac:dyDescent="0.35">
      <c r="A23" s="9"/>
      <c r="B23" s="61" t="s">
        <v>56</v>
      </c>
      <c r="C23" s="61" t="s">
        <v>147</v>
      </c>
      <c r="D23" s="62" t="s">
        <v>33</v>
      </c>
      <c r="E23" s="63">
        <v>46269</v>
      </c>
      <c r="F23" s="39">
        <v>46267</v>
      </c>
      <c r="G23" s="64">
        <v>46270</v>
      </c>
      <c r="H23" s="65">
        <v>8</v>
      </c>
      <c r="I23" s="66">
        <v>65000</v>
      </c>
      <c r="J23" s="67">
        <f t="shared" ref="J23:J38" si="7">H23*I23</f>
        <v>520000</v>
      </c>
      <c r="K23" s="68">
        <v>0</v>
      </c>
      <c r="L23" s="66">
        <v>0</v>
      </c>
      <c r="M23" s="67">
        <f t="shared" ref="M23:M38" si="8">K23*L23</f>
        <v>0</v>
      </c>
      <c r="N23" s="69">
        <v>0</v>
      </c>
      <c r="O23" s="69">
        <v>0</v>
      </c>
      <c r="P23" s="70">
        <v>0</v>
      </c>
      <c r="Q23" s="83">
        <f t="shared" si="3"/>
        <v>624000</v>
      </c>
      <c r="R23" s="71">
        <f t="shared" ref="R23:R38" si="9">J23+M23+N23+O23+P23</f>
        <v>520000</v>
      </c>
      <c r="S23" s="72">
        <f t="shared" ref="S23:S38" si="10">R23-Q23</f>
        <v>-104000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s="10" customFormat="1" ht="16" x14ac:dyDescent="0.35">
      <c r="A24" s="9"/>
      <c r="B24" s="87">
        <v>4</v>
      </c>
      <c r="C24" s="102" t="s">
        <v>221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s="10" customFormat="1" x14ac:dyDescent="0.35">
      <c r="A25" s="9"/>
      <c r="B25" s="73" t="s">
        <v>57</v>
      </c>
      <c r="C25" s="73" t="s">
        <v>148</v>
      </c>
      <c r="D25" s="62" t="s">
        <v>33</v>
      </c>
      <c r="E25" s="75">
        <v>46263</v>
      </c>
      <c r="F25" s="75">
        <v>46263</v>
      </c>
      <c r="G25" s="76">
        <v>46264</v>
      </c>
      <c r="H25" s="77">
        <v>16</v>
      </c>
      <c r="I25" s="78">
        <v>90000</v>
      </c>
      <c r="J25" s="79">
        <f t="shared" si="7"/>
        <v>1440000</v>
      </c>
      <c r="K25" s="80">
        <v>0</v>
      </c>
      <c r="L25" s="78">
        <v>0</v>
      </c>
      <c r="M25" s="79">
        <f t="shared" si="8"/>
        <v>0</v>
      </c>
      <c r="N25" s="81">
        <v>0</v>
      </c>
      <c r="O25" s="81">
        <v>0</v>
      </c>
      <c r="P25" s="82">
        <v>0</v>
      </c>
      <c r="Q25" s="83">
        <f t="shared" si="3"/>
        <v>1728000</v>
      </c>
      <c r="R25" s="84">
        <f t="shared" si="9"/>
        <v>1440000</v>
      </c>
      <c r="S25" s="85">
        <f t="shared" si="10"/>
        <v>-288000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10" customFormat="1" ht="25" x14ac:dyDescent="0.35">
      <c r="A26" s="9"/>
      <c r="B26" s="34" t="s">
        <v>58</v>
      </c>
      <c r="C26" s="34" t="s">
        <v>149</v>
      </c>
      <c r="D26" s="62" t="s">
        <v>33</v>
      </c>
      <c r="E26" s="39">
        <v>46265</v>
      </c>
      <c r="F26" s="39">
        <v>46090</v>
      </c>
      <c r="G26" s="49">
        <v>46266</v>
      </c>
      <c r="H26" s="50">
        <v>8</v>
      </c>
      <c r="I26" s="41">
        <v>90000</v>
      </c>
      <c r="J26" s="51">
        <f t="shared" si="7"/>
        <v>720000</v>
      </c>
      <c r="K26" s="40">
        <v>0</v>
      </c>
      <c r="L26" s="41">
        <v>0</v>
      </c>
      <c r="M26" s="51">
        <f t="shared" si="8"/>
        <v>0</v>
      </c>
      <c r="N26" s="42">
        <v>0</v>
      </c>
      <c r="O26" s="42">
        <v>0</v>
      </c>
      <c r="P26" s="52">
        <v>0</v>
      </c>
      <c r="Q26" s="83">
        <f t="shared" si="3"/>
        <v>864000</v>
      </c>
      <c r="R26" s="53">
        <f t="shared" si="9"/>
        <v>720000</v>
      </c>
      <c r="S26" s="54">
        <f t="shared" si="10"/>
        <v>-144000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s="10" customFormat="1" ht="25" x14ac:dyDescent="0.35">
      <c r="A27" s="9"/>
      <c r="B27" s="34" t="s">
        <v>59</v>
      </c>
      <c r="C27" s="34" t="s">
        <v>150</v>
      </c>
      <c r="D27" s="62" t="s">
        <v>33</v>
      </c>
      <c r="E27" s="39">
        <v>46267</v>
      </c>
      <c r="F27" s="39">
        <v>46090</v>
      </c>
      <c r="G27" s="49">
        <v>46268</v>
      </c>
      <c r="H27" s="50">
        <v>16</v>
      </c>
      <c r="I27" s="41">
        <v>90000</v>
      </c>
      <c r="J27" s="51">
        <f t="shared" si="7"/>
        <v>1440000</v>
      </c>
      <c r="K27" s="40">
        <v>0</v>
      </c>
      <c r="L27" s="41">
        <v>0</v>
      </c>
      <c r="M27" s="51">
        <f t="shared" si="8"/>
        <v>0</v>
      </c>
      <c r="N27" s="42">
        <v>0</v>
      </c>
      <c r="O27" s="42">
        <v>0</v>
      </c>
      <c r="P27" s="52">
        <v>0</v>
      </c>
      <c r="Q27" s="83">
        <f t="shared" si="3"/>
        <v>1728000</v>
      </c>
      <c r="R27" s="53">
        <f t="shared" si="9"/>
        <v>1440000</v>
      </c>
      <c r="S27" s="54">
        <f t="shared" si="10"/>
        <v>-288000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s="10" customFormat="1" ht="25" x14ac:dyDescent="0.35">
      <c r="A28" s="9"/>
      <c r="B28" s="121" t="s">
        <v>60</v>
      </c>
      <c r="C28" s="121" t="s">
        <v>151</v>
      </c>
      <c r="D28" s="122" t="s">
        <v>230</v>
      </c>
      <c r="E28" s="123">
        <v>46269</v>
      </c>
      <c r="F28" s="123"/>
      <c r="G28" s="124"/>
      <c r="H28" s="125">
        <v>12</v>
      </c>
      <c r="I28" s="126">
        <v>90000</v>
      </c>
      <c r="J28" s="127">
        <f t="shared" ref="J28:J37" si="11">H28*I28</f>
        <v>1080000</v>
      </c>
      <c r="K28" s="128">
        <v>0</v>
      </c>
      <c r="L28" s="126">
        <v>0</v>
      </c>
      <c r="M28" s="127">
        <f t="shared" ref="M28:M37" si="12">K28*L28</f>
        <v>0</v>
      </c>
      <c r="N28" s="129">
        <v>0</v>
      </c>
      <c r="O28" s="129">
        <v>0</v>
      </c>
      <c r="P28" s="130">
        <v>0</v>
      </c>
      <c r="Q28" s="131">
        <f t="shared" si="3"/>
        <v>1296000</v>
      </c>
      <c r="R28" s="132">
        <f t="shared" ref="R28:R37" si="13">J28+M28+N28+O28+P28</f>
        <v>1080000</v>
      </c>
      <c r="S28" s="133">
        <f t="shared" ref="S28:S37" si="14">R28-Q28</f>
        <v>-216000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s="10" customFormat="1" ht="16" x14ac:dyDescent="0.35">
      <c r="A29" s="9"/>
      <c r="B29" s="60">
        <v>5</v>
      </c>
      <c r="C29" s="103" t="s">
        <v>222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s="10" customFormat="1" ht="25" x14ac:dyDescent="0.35">
      <c r="A30" s="9"/>
      <c r="B30" s="73" t="s">
        <v>61</v>
      </c>
      <c r="C30" s="73" t="s">
        <v>152</v>
      </c>
      <c r="D30" s="62" t="s">
        <v>33</v>
      </c>
      <c r="E30" s="75">
        <v>46265</v>
      </c>
      <c r="F30" s="39">
        <v>46090</v>
      </c>
      <c r="G30" s="76">
        <v>46266</v>
      </c>
      <c r="H30" s="77">
        <v>16</v>
      </c>
      <c r="I30" s="78">
        <v>70000</v>
      </c>
      <c r="J30" s="79">
        <f t="shared" si="11"/>
        <v>1120000</v>
      </c>
      <c r="K30" s="80">
        <v>0</v>
      </c>
      <c r="L30" s="78">
        <v>0</v>
      </c>
      <c r="M30" s="79">
        <f t="shared" si="12"/>
        <v>0</v>
      </c>
      <c r="N30" s="81">
        <v>0</v>
      </c>
      <c r="O30" s="81">
        <v>0</v>
      </c>
      <c r="P30" s="82">
        <v>0</v>
      </c>
      <c r="Q30" s="83">
        <f t="shared" si="3"/>
        <v>1344000</v>
      </c>
      <c r="R30" s="84">
        <f t="shared" si="13"/>
        <v>1120000</v>
      </c>
      <c r="S30" s="85">
        <f t="shared" si="14"/>
        <v>-224000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s="10" customFormat="1" ht="25" x14ac:dyDescent="0.35">
      <c r="A31" s="9"/>
      <c r="B31" s="134" t="s">
        <v>62</v>
      </c>
      <c r="C31" s="134" t="s">
        <v>153</v>
      </c>
      <c r="D31" s="122" t="s">
        <v>230</v>
      </c>
      <c r="E31" s="135">
        <v>46267</v>
      </c>
      <c r="F31" s="135"/>
      <c r="G31" s="136"/>
      <c r="H31" s="137">
        <v>12</v>
      </c>
      <c r="I31" s="138">
        <v>70000</v>
      </c>
      <c r="J31" s="139">
        <f t="shared" si="11"/>
        <v>840000</v>
      </c>
      <c r="K31" s="140">
        <v>0</v>
      </c>
      <c r="L31" s="138">
        <v>0</v>
      </c>
      <c r="M31" s="139">
        <f t="shared" si="12"/>
        <v>0</v>
      </c>
      <c r="N31" s="141">
        <v>0</v>
      </c>
      <c r="O31" s="141">
        <v>0</v>
      </c>
      <c r="P31" s="142">
        <v>0</v>
      </c>
      <c r="Q31" s="131">
        <f t="shared" si="3"/>
        <v>1008000</v>
      </c>
      <c r="R31" s="143">
        <f t="shared" si="13"/>
        <v>840000</v>
      </c>
      <c r="S31" s="144">
        <f t="shared" si="14"/>
        <v>-168000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s="10" customFormat="1" ht="25" x14ac:dyDescent="0.35">
      <c r="A32" s="9"/>
      <c r="B32" s="134" t="s">
        <v>63</v>
      </c>
      <c r="C32" s="134" t="s">
        <v>154</v>
      </c>
      <c r="D32" s="122" t="s">
        <v>230</v>
      </c>
      <c r="E32" s="135">
        <v>46269</v>
      </c>
      <c r="F32" s="135"/>
      <c r="G32" s="136"/>
      <c r="H32" s="137">
        <v>8</v>
      </c>
      <c r="I32" s="138">
        <v>70000</v>
      </c>
      <c r="J32" s="139">
        <f t="shared" si="11"/>
        <v>560000</v>
      </c>
      <c r="K32" s="140">
        <v>1</v>
      </c>
      <c r="L32" s="138">
        <v>1200000</v>
      </c>
      <c r="M32" s="139">
        <f t="shared" si="12"/>
        <v>1200000</v>
      </c>
      <c r="N32" s="141">
        <v>0</v>
      </c>
      <c r="O32" s="141">
        <v>0</v>
      </c>
      <c r="P32" s="142">
        <v>0</v>
      </c>
      <c r="Q32" s="131">
        <f t="shared" si="3"/>
        <v>672000</v>
      </c>
      <c r="R32" s="143">
        <f t="shared" si="13"/>
        <v>1760000</v>
      </c>
      <c r="S32" s="144">
        <f t="shared" si="14"/>
        <v>1088000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s="10" customFormat="1" ht="25" x14ac:dyDescent="0.35">
      <c r="A33" s="9"/>
      <c r="B33" s="61" t="s">
        <v>64</v>
      </c>
      <c r="C33" s="61" t="s">
        <v>155</v>
      </c>
      <c r="D33" s="62" t="s">
        <v>33</v>
      </c>
      <c r="E33" s="63">
        <v>46267</v>
      </c>
      <c r="F33" s="39">
        <v>46090</v>
      </c>
      <c r="G33" s="64">
        <v>46268</v>
      </c>
      <c r="H33" s="65">
        <v>8</v>
      </c>
      <c r="I33" s="66">
        <v>80000</v>
      </c>
      <c r="J33" s="67">
        <f t="shared" si="11"/>
        <v>640000</v>
      </c>
      <c r="K33" s="68">
        <v>1</v>
      </c>
      <c r="L33" s="66">
        <v>600000</v>
      </c>
      <c r="M33" s="67">
        <f t="shared" si="12"/>
        <v>600000</v>
      </c>
      <c r="N33" s="69">
        <v>0</v>
      </c>
      <c r="O33" s="69">
        <v>5200000</v>
      </c>
      <c r="P33" s="70">
        <v>0</v>
      </c>
      <c r="Q33" s="83">
        <f t="shared" si="3"/>
        <v>768000</v>
      </c>
      <c r="R33" s="71">
        <f t="shared" si="13"/>
        <v>6440000</v>
      </c>
      <c r="S33" s="72">
        <f t="shared" si="14"/>
        <v>5672000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s="10" customFormat="1" ht="16" x14ac:dyDescent="0.35">
      <c r="A34" s="9"/>
      <c r="B34" s="88">
        <v>6</v>
      </c>
      <c r="C34" s="95" t="s">
        <v>223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s="10" customFormat="1" x14ac:dyDescent="0.35">
      <c r="A35" s="9"/>
      <c r="B35" s="145" t="s">
        <v>65</v>
      </c>
      <c r="C35" s="145" t="s">
        <v>156</v>
      </c>
      <c r="D35" s="122" t="s">
        <v>230</v>
      </c>
      <c r="E35" s="146">
        <v>46271</v>
      </c>
      <c r="F35" s="146"/>
      <c r="G35" s="147"/>
      <c r="H35" s="148">
        <v>24</v>
      </c>
      <c r="I35" s="149">
        <v>75000</v>
      </c>
      <c r="J35" s="150">
        <f t="shared" si="11"/>
        <v>1800000</v>
      </c>
      <c r="K35" s="151">
        <v>0</v>
      </c>
      <c r="L35" s="149">
        <v>0</v>
      </c>
      <c r="M35" s="150">
        <f t="shared" si="12"/>
        <v>0</v>
      </c>
      <c r="N35" s="152">
        <v>0</v>
      </c>
      <c r="O35" s="152">
        <v>0</v>
      </c>
      <c r="P35" s="153">
        <v>0</v>
      </c>
      <c r="Q35" s="131">
        <f t="shared" si="3"/>
        <v>2160000</v>
      </c>
      <c r="R35" s="154">
        <f t="shared" si="13"/>
        <v>1800000</v>
      </c>
      <c r="S35" s="155">
        <f t="shared" si="14"/>
        <v>-360000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s="10" customFormat="1" x14ac:dyDescent="0.35">
      <c r="A36" s="9"/>
      <c r="B36" s="134" t="s">
        <v>66</v>
      </c>
      <c r="C36" s="134" t="s">
        <v>157</v>
      </c>
      <c r="D36" s="122" t="s">
        <v>230</v>
      </c>
      <c r="E36" s="135">
        <v>46274</v>
      </c>
      <c r="F36" s="135"/>
      <c r="G36" s="136"/>
      <c r="H36" s="137">
        <v>20</v>
      </c>
      <c r="I36" s="138">
        <v>75000</v>
      </c>
      <c r="J36" s="139">
        <f t="shared" si="11"/>
        <v>1500000</v>
      </c>
      <c r="K36" s="140">
        <v>0</v>
      </c>
      <c r="L36" s="138">
        <v>0</v>
      </c>
      <c r="M36" s="139">
        <f t="shared" si="12"/>
        <v>0</v>
      </c>
      <c r="N36" s="141">
        <v>0</v>
      </c>
      <c r="O36" s="141">
        <v>0</v>
      </c>
      <c r="P36" s="142">
        <v>0</v>
      </c>
      <c r="Q36" s="131">
        <f t="shared" si="3"/>
        <v>1800000</v>
      </c>
      <c r="R36" s="143">
        <f t="shared" si="13"/>
        <v>1500000</v>
      </c>
      <c r="S36" s="144">
        <f t="shared" si="14"/>
        <v>-300000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s="10" customFormat="1" x14ac:dyDescent="0.35">
      <c r="A37" s="9"/>
      <c r="B37" s="34" t="s">
        <v>67</v>
      </c>
      <c r="C37" s="34" t="s">
        <v>158</v>
      </c>
      <c r="D37" s="16" t="s">
        <v>33</v>
      </c>
      <c r="E37" s="39">
        <v>46271</v>
      </c>
      <c r="F37" s="39">
        <v>46274</v>
      </c>
      <c r="G37" s="49">
        <v>46273</v>
      </c>
      <c r="H37" s="50">
        <v>24</v>
      </c>
      <c r="I37" s="41">
        <v>75000</v>
      </c>
      <c r="J37" s="51">
        <f t="shared" si="11"/>
        <v>1800000</v>
      </c>
      <c r="K37" s="40">
        <v>0</v>
      </c>
      <c r="L37" s="41">
        <v>0</v>
      </c>
      <c r="M37" s="51">
        <f t="shared" si="12"/>
        <v>0</v>
      </c>
      <c r="N37" s="42">
        <v>0</v>
      </c>
      <c r="O37" s="42">
        <v>0</v>
      </c>
      <c r="P37" s="52">
        <v>0</v>
      </c>
      <c r="Q37" s="83">
        <f t="shared" si="3"/>
        <v>2160000</v>
      </c>
      <c r="R37" s="53">
        <f t="shared" si="13"/>
        <v>1800000</v>
      </c>
      <c r="S37" s="54">
        <f t="shared" si="14"/>
        <v>-360000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s="10" customFormat="1" x14ac:dyDescent="0.35">
      <c r="A38" s="9"/>
      <c r="B38" s="34" t="s">
        <v>68</v>
      </c>
      <c r="C38" s="34" t="s">
        <v>159</v>
      </c>
      <c r="D38" s="16" t="s">
        <v>33</v>
      </c>
      <c r="E38" s="39">
        <v>46271</v>
      </c>
      <c r="F38" s="39">
        <v>46274</v>
      </c>
      <c r="G38" s="49">
        <v>46272</v>
      </c>
      <c r="H38" s="50">
        <v>12</v>
      </c>
      <c r="I38" s="41">
        <v>75000</v>
      </c>
      <c r="J38" s="51">
        <f t="shared" si="7"/>
        <v>900000</v>
      </c>
      <c r="K38" s="40">
        <v>0</v>
      </c>
      <c r="L38" s="41">
        <v>0</v>
      </c>
      <c r="M38" s="51">
        <f t="shared" si="8"/>
        <v>0</v>
      </c>
      <c r="N38" s="42">
        <v>0</v>
      </c>
      <c r="O38" s="42">
        <v>0</v>
      </c>
      <c r="P38" s="52">
        <v>0</v>
      </c>
      <c r="Q38" s="83">
        <f t="shared" si="3"/>
        <v>1080000</v>
      </c>
      <c r="R38" s="53">
        <f t="shared" si="9"/>
        <v>900000</v>
      </c>
      <c r="S38" s="54">
        <f t="shared" si="10"/>
        <v>-180000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s="10" customFormat="1" x14ac:dyDescent="0.35">
      <c r="A39" s="9"/>
      <c r="B39" s="34" t="s">
        <v>69</v>
      </c>
      <c r="C39" s="34" t="s">
        <v>160</v>
      </c>
      <c r="D39" s="16" t="s">
        <v>33</v>
      </c>
      <c r="E39" s="39">
        <v>46271</v>
      </c>
      <c r="F39" s="39">
        <v>46274</v>
      </c>
      <c r="G39" s="49">
        <v>46273</v>
      </c>
      <c r="H39" s="50">
        <v>24</v>
      </c>
      <c r="I39" s="41">
        <v>75000</v>
      </c>
      <c r="J39" s="51">
        <f t="shared" ref="J39:J49" si="15">H39*I39</f>
        <v>1800000</v>
      </c>
      <c r="K39" s="40">
        <v>0</v>
      </c>
      <c r="L39" s="41">
        <v>0</v>
      </c>
      <c r="M39" s="51">
        <f t="shared" ref="M39:M49" si="16">K39*L39</f>
        <v>0</v>
      </c>
      <c r="N39" s="42">
        <v>0</v>
      </c>
      <c r="O39" s="42">
        <v>0</v>
      </c>
      <c r="P39" s="52">
        <v>0</v>
      </c>
      <c r="Q39" s="83">
        <f t="shared" si="3"/>
        <v>2160000</v>
      </c>
      <c r="R39" s="53">
        <f t="shared" ref="R39:R49" si="17">J39+M39+N39+O39+P39</f>
        <v>1800000</v>
      </c>
      <c r="S39" s="54">
        <f t="shared" ref="S39:S49" si="18">R39-Q39</f>
        <v>-360000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s="10" customFormat="1" ht="25" x14ac:dyDescent="0.35">
      <c r="A40" s="9"/>
      <c r="B40" s="34" t="s">
        <v>70</v>
      </c>
      <c r="C40" s="34" t="s">
        <v>161</v>
      </c>
      <c r="D40" s="16" t="s">
        <v>33</v>
      </c>
      <c r="E40" s="39">
        <v>46274</v>
      </c>
      <c r="F40" s="39">
        <v>46274</v>
      </c>
      <c r="G40" s="49">
        <v>46276</v>
      </c>
      <c r="H40" s="50">
        <v>24</v>
      </c>
      <c r="I40" s="41">
        <v>75000</v>
      </c>
      <c r="J40" s="51">
        <f t="shared" si="15"/>
        <v>1800000</v>
      </c>
      <c r="K40" s="40">
        <v>0</v>
      </c>
      <c r="L40" s="41">
        <v>0</v>
      </c>
      <c r="M40" s="51">
        <f t="shared" si="16"/>
        <v>0</v>
      </c>
      <c r="N40" s="42">
        <v>0</v>
      </c>
      <c r="O40" s="42">
        <v>0</v>
      </c>
      <c r="P40" s="52">
        <v>0</v>
      </c>
      <c r="Q40" s="83">
        <f t="shared" si="3"/>
        <v>2160000</v>
      </c>
      <c r="R40" s="53">
        <f t="shared" si="17"/>
        <v>1800000</v>
      </c>
      <c r="S40" s="54">
        <f t="shared" si="18"/>
        <v>-360000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s="10" customFormat="1" x14ac:dyDescent="0.35">
      <c r="A41" s="9"/>
      <c r="B41" s="134" t="s">
        <v>71</v>
      </c>
      <c r="C41" s="134" t="s">
        <v>162</v>
      </c>
      <c r="D41" s="122" t="s">
        <v>230</v>
      </c>
      <c r="E41" s="135">
        <v>46273</v>
      </c>
      <c r="F41" s="135"/>
      <c r="G41" s="136"/>
      <c r="H41" s="137">
        <v>20</v>
      </c>
      <c r="I41" s="138">
        <v>75000</v>
      </c>
      <c r="J41" s="139">
        <f t="shared" si="15"/>
        <v>1500000</v>
      </c>
      <c r="K41" s="140">
        <v>0</v>
      </c>
      <c r="L41" s="138">
        <v>0</v>
      </c>
      <c r="M41" s="139">
        <f t="shared" si="16"/>
        <v>0</v>
      </c>
      <c r="N41" s="141">
        <v>0</v>
      </c>
      <c r="O41" s="141">
        <v>0</v>
      </c>
      <c r="P41" s="142">
        <v>0</v>
      </c>
      <c r="Q41" s="131">
        <f t="shared" si="3"/>
        <v>1800000</v>
      </c>
      <c r="R41" s="143">
        <f t="shared" si="17"/>
        <v>1500000</v>
      </c>
      <c r="S41" s="144">
        <f t="shared" si="18"/>
        <v>-300000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s="10" customFormat="1" x14ac:dyDescent="0.35">
      <c r="A42" s="9"/>
      <c r="B42" s="134" t="s">
        <v>72</v>
      </c>
      <c r="C42" s="134" t="s">
        <v>163</v>
      </c>
      <c r="D42" s="122" t="s">
        <v>230</v>
      </c>
      <c r="E42" s="135">
        <v>46275</v>
      </c>
      <c r="F42" s="135"/>
      <c r="G42" s="136"/>
      <c r="H42" s="137">
        <v>32</v>
      </c>
      <c r="I42" s="138">
        <v>75000</v>
      </c>
      <c r="J42" s="139">
        <f t="shared" si="15"/>
        <v>2400000</v>
      </c>
      <c r="K42" s="140">
        <v>0</v>
      </c>
      <c r="L42" s="138">
        <v>0</v>
      </c>
      <c r="M42" s="139">
        <f t="shared" si="16"/>
        <v>0</v>
      </c>
      <c r="N42" s="141">
        <v>0</v>
      </c>
      <c r="O42" s="141">
        <v>0</v>
      </c>
      <c r="P42" s="142">
        <v>0</v>
      </c>
      <c r="Q42" s="131">
        <f t="shared" si="3"/>
        <v>2880000</v>
      </c>
      <c r="R42" s="143">
        <f t="shared" si="17"/>
        <v>2400000</v>
      </c>
      <c r="S42" s="144">
        <f t="shared" si="18"/>
        <v>-480000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s="10" customFormat="1" x14ac:dyDescent="0.35">
      <c r="A43" s="9"/>
      <c r="B43" s="134" t="s">
        <v>73</v>
      </c>
      <c r="C43" s="134" t="s">
        <v>164</v>
      </c>
      <c r="D43" s="122" t="s">
        <v>230</v>
      </c>
      <c r="E43" s="135">
        <v>46274</v>
      </c>
      <c r="F43" s="135"/>
      <c r="G43" s="136"/>
      <c r="H43" s="137">
        <v>20</v>
      </c>
      <c r="I43" s="138">
        <v>75000</v>
      </c>
      <c r="J43" s="139">
        <f t="shared" si="15"/>
        <v>1500000</v>
      </c>
      <c r="K43" s="140">
        <v>0</v>
      </c>
      <c r="L43" s="138">
        <v>0</v>
      </c>
      <c r="M43" s="139">
        <f t="shared" si="16"/>
        <v>0</v>
      </c>
      <c r="N43" s="141">
        <v>0</v>
      </c>
      <c r="O43" s="141">
        <v>0</v>
      </c>
      <c r="P43" s="142">
        <v>0</v>
      </c>
      <c r="Q43" s="131">
        <f t="shared" si="3"/>
        <v>1800000</v>
      </c>
      <c r="R43" s="143">
        <f t="shared" si="17"/>
        <v>1500000</v>
      </c>
      <c r="S43" s="144">
        <f t="shared" si="18"/>
        <v>-300000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s="10" customFormat="1" x14ac:dyDescent="0.35">
      <c r="A44" s="9"/>
      <c r="B44" s="134" t="s">
        <v>74</v>
      </c>
      <c r="C44" s="134" t="s">
        <v>165</v>
      </c>
      <c r="D44" s="122" t="s">
        <v>230</v>
      </c>
      <c r="E44" s="135">
        <v>46274</v>
      </c>
      <c r="F44" s="135"/>
      <c r="G44" s="136"/>
      <c r="H44" s="137">
        <v>16</v>
      </c>
      <c r="I44" s="138">
        <v>75000</v>
      </c>
      <c r="J44" s="139">
        <f t="shared" si="15"/>
        <v>1200000</v>
      </c>
      <c r="K44" s="140">
        <v>0</v>
      </c>
      <c r="L44" s="138">
        <v>0</v>
      </c>
      <c r="M44" s="139">
        <f t="shared" si="16"/>
        <v>0</v>
      </c>
      <c r="N44" s="141">
        <v>0</v>
      </c>
      <c r="O44" s="141">
        <v>0</v>
      </c>
      <c r="P44" s="142">
        <v>0</v>
      </c>
      <c r="Q44" s="131">
        <f t="shared" si="3"/>
        <v>1440000</v>
      </c>
      <c r="R44" s="143">
        <f t="shared" si="17"/>
        <v>1200000</v>
      </c>
      <c r="S44" s="144">
        <f t="shared" si="18"/>
        <v>-240000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s="10" customFormat="1" x14ac:dyDescent="0.35">
      <c r="A45" s="9"/>
      <c r="B45" s="134" t="s">
        <v>75</v>
      </c>
      <c r="C45" s="134" t="s">
        <v>166</v>
      </c>
      <c r="D45" s="122" t="s">
        <v>230</v>
      </c>
      <c r="E45" s="135">
        <v>46277</v>
      </c>
      <c r="F45" s="135"/>
      <c r="G45" s="136"/>
      <c r="H45" s="137">
        <v>12</v>
      </c>
      <c r="I45" s="138">
        <v>75000</v>
      </c>
      <c r="J45" s="139">
        <f t="shared" si="15"/>
        <v>900000</v>
      </c>
      <c r="K45" s="140">
        <v>0</v>
      </c>
      <c r="L45" s="138">
        <v>0</v>
      </c>
      <c r="M45" s="139">
        <f t="shared" si="16"/>
        <v>0</v>
      </c>
      <c r="N45" s="141">
        <v>0</v>
      </c>
      <c r="O45" s="141">
        <v>0</v>
      </c>
      <c r="P45" s="142">
        <v>0</v>
      </c>
      <c r="Q45" s="131">
        <f t="shared" si="3"/>
        <v>1080000</v>
      </c>
      <c r="R45" s="143">
        <f t="shared" si="17"/>
        <v>900000</v>
      </c>
      <c r="S45" s="144">
        <f t="shared" si="18"/>
        <v>-180000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s="10" customFormat="1" x14ac:dyDescent="0.35">
      <c r="A46" s="9"/>
      <c r="B46" s="134" t="s">
        <v>76</v>
      </c>
      <c r="C46" s="134" t="s">
        <v>167</v>
      </c>
      <c r="D46" s="122" t="s">
        <v>230</v>
      </c>
      <c r="E46" s="135">
        <v>46277</v>
      </c>
      <c r="F46" s="135"/>
      <c r="G46" s="136"/>
      <c r="H46" s="137">
        <v>20</v>
      </c>
      <c r="I46" s="138">
        <v>75000</v>
      </c>
      <c r="J46" s="139">
        <f t="shared" si="15"/>
        <v>1500000</v>
      </c>
      <c r="K46" s="140">
        <v>0</v>
      </c>
      <c r="L46" s="138">
        <v>0</v>
      </c>
      <c r="M46" s="139">
        <f t="shared" si="16"/>
        <v>0</v>
      </c>
      <c r="N46" s="141">
        <v>0</v>
      </c>
      <c r="O46" s="141">
        <v>0</v>
      </c>
      <c r="P46" s="142">
        <v>0</v>
      </c>
      <c r="Q46" s="131">
        <f t="shared" si="3"/>
        <v>1800000</v>
      </c>
      <c r="R46" s="143">
        <f t="shared" si="17"/>
        <v>1500000</v>
      </c>
      <c r="S46" s="144">
        <f t="shared" si="18"/>
        <v>-300000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s="10" customFormat="1" x14ac:dyDescent="0.35">
      <c r="A47" s="9"/>
      <c r="B47" s="134" t="s">
        <v>77</v>
      </c>
      <c r="C47" s="134" t="s">
        <v>168</v>
      </c>
      <c r="D47" s="122" t="s">
        <v>230</v>
      </c>
      <c r="E47" s="135">
        <v>46278</v>
      </c>
      <c r="F47" s="135"/>
      <c r="G47" s="136"/>
      <c r="H47" s="137">
        <v>32</v>
      </c>
      <c r="I47" s="138">
        <v>75000</v>
      </c>
      <c r="J47" s="139">
        <f t="shared" si="15"/>
        <v>2400000</v>
      </c>
      <c r="K47" s="140">
        <v>0</v>
      </c>
      <c r="L47" s="138">
        <v>0</v>
      </c>
      <c r="M47" s="139">
        <f t="shared" si="16"/>
        <v>0</v>
      </c>
      <c r="N47" s="141">
        <v>0</v>
      </c>
      <c r="O47" s="141">
        <v>0</v>
      </c>
      <c r="P47" s="142">
        <v>0</v>
      </c>
      <c r="Q47" s="131">
        <f t="shared" si="3"/>
        <v>2880000</v>
      </c>
      <c r="R47" s="143">
        <f t="shared" si="17"/>
        <v>2400000</v>
      </c>
      <c r="S47" s="144">
        <f t="shared" si="18"/>
        <v>-480000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s="10" customFormat="1" x14ac:dyDescent="0.35">
      <c r="A48" s="9"/>
      <c r="B48" s="134" t="s">
        <v>78</v>
      </c>
      <c r="C48" s="134" t="s">
        <v>169</v>
      </c>
      <c r="D48" s="122" t="s">
        <v>230</v>
      </c>
      <c r="E48" s="135">
        <v>46281</v>
      </c>
      <c r="F48" s="135"/>
      <c r="G48" s="136"/>
      <c r="H48" s="137">
        <v>16</v>
      </c>
      <c r="I48" s="138">
        <v>75000</v>
      </c>
      <c r="J48" s="139">
        <f t="shared" si="15"/>
        <v>1200000</v>
      </c>
      <c r="K48" s="140">
        <v>0</v>
      </c>
      <c r="L48" s="138">
        <v>0</v>
      </c>
      <c r="M48" s="139">
        <f t="shared" si="16"/>
        <v>0</v>
      </c>
      <c r="N48" s="141">
        <v>0</v>
      </c>
      <c r="O48" s="141">
        <v>0</v>
      </c>
      <c r="P48" s="142">
        <v>0</v>
      </c>
      <c r="Q48" s="131">
        <f t="shared" si="3"/>
        <v>1440000</v>
      </c>
      <c r="R48" s="143">
        <f t="shared" si="17"/>
        <v>1200000</v>
      </c>
      <c r="S48" s="144">
        <f t="shared" si="18"/>
        <v>-240000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s="10" customFormat="1" ht="25" x14ac:dyDescent="0.35">
      <c r="A49" s="9"/>
      <c r="B49" s="134" t="s">
        <v>79</v>
      </c>
      <c r="C49" s="134" t="s">
        <v>170</v>
      </c>
      <c r="D49" s="122" t="s">
        <v>230</v>
      </c>
      <c r="E49" s="135">
        <v>46276</v>
      </c>
      <c r="F49" s="135"/>
      <c r="G49" s="136"/>
      <c r="H49" s="137">
        <v>24</v>
      </c>
      <c r="I49" s="138">
        <v>75000</v>
      </c>
      <c r="J49" s="139">
        <f t="shared" si="15"/>
        <v>1800000</v>
      </c>
      <c r="K49" s="140">
        <v>0</v>
      </c>
      <c r="L49" s="138">
        <v>0</v>
      </c>
      <c r="M49" s="139">
        <f t="shared" si="16"/>
        <v>0</v>
      </c>
      <c r="N49" s="141">
        <v>0</v>
      </c>
      <c r="O49" s="141">
        <v>0</v>
      </c>
      <c r="P49" s="142">
        <v>0</v>
      </c>
      <c r="Q49" s="131">
        <f t="shared" si="3"/>
        <v>2160000</v>
      </c>
      <c r="R49" s="143">
        <f t="shared" si="17"/>
        <v>1800000</v>
      </c>
      <c r="S49" s="144">
        <f t="shared" si="18"/>
        <v>-360000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s="10" customFormat="1" x14ac:dyDescent="0.35">
      <c r="A50" s="9"/>
      <c r="B50" s="121" t="s">
        <v>80</v>
      </c>
      <c r="C50" s="121" t="s">
        <v>171</v>
      </c>
      <c r="D50" s="122" t="s">
        <v>230</v>
      </c>
      <c r="E50" s="123">
        <v>46280</v>
      </c>
      <c r="F50" s="123"/>
      <c r="G50" s="124"/>
      <c r="H50" s="125">
        <v>12</v>
      </c>
      <c r="I50" s="126">
        <v>75000</v>
      </c>
      <c r="J50" s="127">
        <f t="shared" ref="J50:J103" si="19">H50*I50</f>
        <v>900000</v>
      </c>
      <c r="K50" s="128">
        <v>0</v>
      </c>
      <c r="L50" s="126">
        <v>0</v>
      </c>
      <c r="M50" s="127">
        <f t="shared" ref="M50:M103" si="20">K50*L50</f>
        <v>0</v>
      </c>
      <c r="N50" s="129">
        <v>0</v>
      </c>
      <c r="O50" s="129">
        <v>0</v>
      </c>
      <c r="P50" s="130">
        <v>0</v>
      </c>
      <c r="Q50" s="131">
        <f t="shared" si="3"/>
        <v>1080000</v>
      </c>
      <c r="R50" s="132">
        <f t="shared" ref="R50:R103" si="21">J50+M50+N50+O50+P50</f>
        <v>900000</v>
      </c>
      <c r="S50" s="133">
        <f t="shared" ref="S50:S103" si="22">R50-Q50</f>
        <v>-180000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s="10" customFormat="1" ht="16" x14ac:dyDescent="0.35">
      <c r="A51" s="9"/>
      <c r="B51" s="89">
        <v>7</v>
      </c>
      <c r="C51" s="96" t="s">
        <v>224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s="10" customFormat="1" ht="25" x14ac:dyDescent="0.35">
      <c r="A52" s="9"/>
      <c r="B52" s="73" t="s">
        <v>81</v>
      </c>
      <c r="C52" s="73" t="s">
        <v>172</v>
      </c>
      <c r="D52" s="16" t="s">
        <v>33</v>
      </c>
      <c r="E52" s="75">
        <v>46283</v>
      </c>
      <c r="F52" s="75" t="s">
        <v>232</v>
      </c>
      <c r="G52" s="76">
        <v>46284</v>
      </c>
      <c r="H52" s="77">
        <v>8</v>
      </c>
      <c r="I52" s="78">
        <v>70000</v>
      </c>
      <c r="J52" s="79">
        <f t="shared" si="19"/>
        <v>560000</v>
      </c>
      <c r="K52" s="80">
        <v>0</v>
      </c>
      <c r="L52" s="78">
        <v>0</v>
      </c>
      <c r="M52" s="79">
        <f t="shared" si="20"/>
        <v>0</v>
      </c>
      <c r="N52" s="81">
        <v>0</v>
      </c>
      <c r="O52" s="81">
        <v>0</v>
      </c>
      <c r="P52" s="82">
        <v>0</v>
      </c>
      <c r="Q52" s="83">
        <f t="shared" si="3"/>
        <v>672000</v>
      </c>
      <c r="R52" s="84">
        <f t="shared" si="21"/>
        <v>560000</v>
      </c>
      <c r="S52" s="85">
        <f t="shared" si="22"/>
        <v>-112000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s="10" customFormat="1" ht="25" x14ac:dyDescent="0.35">
      <c r="A53" s="9"/>
      <c r="B53" s="134" t="s">
        <v>82</v>
      </c>
      <c r="C53" s="134" t="s">
        <v>173</v>
      </c>
      <c r="D53" s="122" t="s">
        <v>230</v>
      </c>
      <c r="E53" s="135">
        <v>46285</v>
      </c>
      <c r="F53" s="135"/>
      <c r="G53" s="136"/>
      <c r="H53" s="137">
        <v>16</v>
      </c>
      <c r="I53" s="138">
        <v>70000</v>
      </c>
      <c r="J53" s="139">
        <f t="shared" si="19"/>
        <v>1120000</v>
      </c>
      <c r="K53" s="140">
        <v>0</v>
      </c>
      <c r="L53" s="138">
        <v>0</v>
      </c>
      <c r="M53" s="139">
        <f t="shared" si="20"/>
        <v>0</v>
      </c>
      <c r="N53" s="141">
        <v>0</v>
      </c>
      <c r="O53" s="141">
        <v>0</v>
      </c>
      <c r="P53" s="142">
        <v>0</v>
      </c>
      <c r="Q53" s="131">
        <f t="shared" si="3"/>
        <v>1344000</v>
      </c>
      <c r="R53" s="143">
        <f t="shared" si="21"/>
        <v>1120000</v>
      </c>
      <c r="S53" s="144">
        <f t="shared" si="22"/>
        <v>-224000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s="10" customFormat="1" ht="25" x14ac:dyDescent="0.35">
      <c r="A54" s="9"/>
      <c r="B54" s="34" t="s">
        <v>83</v>
      </c>
      <c r="C54" s="34" t="s">
        <v>174</v>
      </c>
      <c r="D54" s="16" t="s">
        <v>33</v>
      </c>
      <c r="E54" s="39">
        <v>46287</v>
      </c>
      <c r="F54" s="39">
        <v>46287</v>
      </c>
      <c r="G54" s="49">
        <v>46288</v>
      </c>
      <c r="H54" s="50">
        <v>24</v>
      </c>
      <c r="I54" s="41">
        <v>70000</v>
      </c>
      <c r="J54" s="51">
        <f t="shared" si="19"/>
        <v>1680000</v>
      </c>
      <c r="K54" s="40">
        <v>0</v>
      </c>
      <c r="L54" s="41">
        <v>0</v>
      </c>
      <c r="M54" s="51">
        <f t="shared" si="20"/>
        <v>0</v>
      </c>
      <c r="N54" s="42">
        <v>0</v>
      </c>
      <c r="O54" s="42">
        <v>0</v>
      </c>
      <c r="P54" s="52">
        <v>0</v>
      </c>
      <c r="Q54" s="83">
        <f t="shared" si="3"/>
        <v>2016000</v>
      </c>
      <c r="R54" s="53">
        <f t="shared" si="21"/>
        <v>1680000</v>
      </c>
      <c r="S54" s="54">
        <f t="shared" si="22"/>
        <v>-336000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s="10" customFormat="1" ht="25" x14ac:dyDescent="0.35">
      <c r="A55" s="9"/>
      <c r="B55" s="34" t="s">
        <v>84</v>
      </c>
      <c r="C55" s="34" t="s">
        <v>175</v>
      </c>
      <c r="D55" s="16" t="s">
        <v>33</v>
      </c>
      <c r="E55" s="39">
        <v>46289</v>
      </c>
      <c r="F55" s="39">
        <v>46287</v>
      </c>
      <c r="G55" s="49">
        <v>46290</v>
      </c>
      <c r="H55" s="50">
        <v>20</v>
      </c>
      <c r="I55" s="41">
        <v>70000</v>
      </c>
      <c r="J55" s="51">
        <f t="shared" si="19"/>
        <v>1400000</v>
      </c>
      <c r="K55" s="40">
        <v>0</v>
      </c>
      <c r="L55" s="41">
        <v>0</v>
      </c>
      <c r="M55" s="51">
        <f t="shared" si="20"/>
        <v>0</v>
      </c>
      <c r="N55" s="42">
        <v>0</v>
      </c>
      <c r="O55" s="42">
        <v>0</v>
      </c>
      <c r="P55" s="52">
        <v>0</v>
      </c>
      <c r="Q55" s="83">
        <f t="shared" si="3"/>
        <v>1680000</v>
      </c>
      <c r="R55" s="53">
        <f t="shared" si="21"/>
        <v>1400000</v>
      </c>
      <c r="S55" s="54">
        <f t="shared" si="22"/>
        <v>-280000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s="10" customFormat="1" ht="25" x14ac:dyDescent="0.35">
      <c r="A56" s="9"/>
      <c r="B56" s="134" t="s">
        <v>85</v>
      </c>
      <c r="C56" s="134" t="s">
        <v>176</v>
      </c>
      <c r="D56" s="122" t="s">
        <v>230</v>
      </c>
      <c r="E56" s="135">
        <v>46291</v>
      </c>
      <c r="F56" s="135"/>
      <c r="G56" s="136"/>
      <c r="H56" s="137">
        <v>16</v>
      </c>
      <c r="I56" s="138">
        <v>70000</v>
      </c>
      <c r="J56" s="139">
        <f t="shared" si="19"/>
        <v>1120000</v>
      </c>
      <c r="K56" s="140">
        <v>0</v>
      </c>
      <c r="L56" s="138">
        <v>0</v>
      </c>
      <c r="M56" s="139">
        <f t="shared" si="20"/>
        <v>0</v>
      </c>
      <c r="N56" s="141">
        <v>0</v>
      </c>
      <c r="O56" s="141">
        <v>0</v>
      </c>
      <c r="P56" s="142">
        <v>0</v>
      </c>
      <c r="Q56" s="131">
        <f t="shared" si="3"/>
        <v>1344000</v>
      </c>
      <c r="R56" s="143">
        <f t="shared" si="21"/>
        <v>1120000</v>
      </c>
      <c r="S56" s="144">
        <f t="shared" si="22"/>
        <v>-224000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s="10" customFormat="1" x14ac:dyDescent="0.35">
      <c r="A57" s="9"/>
      <c r="B57" s="134" t="s">
        <v>86</v>
      </c>
      <c r="C57" s="134" t="s">
        <v>163</v>
      </c>
      <c r="D57" s="122" t="s">
        <v>230</v>
      </c>
      <c r="E57" s="135">
        <v>46293</v>
      </c>
      <c r="F57" s="135"/>
      <c r="G57" s="136"/>
      <c r="H57" s="137">
        <v>24</v>
      </c>
      <c r="I57" s="138">
        <v>70000</v>
      </c>
      <c r="J57" s="139">
        <f t="shared" si="19"/>
        <v>1680000</v>
      </c>
      <c r="K57" s="140">
        <v>0</v>
      </c>
      <c r="L57" s="138">
        <v>0</v>
      </c>
      <c r="M57" s="139">
        <f t="shared" si="20"/>
        <v>0</v>
      </c>
      <c r="N57" s="141">
        <v>0</v>
      </c>
      <c r="O57" s="141">
        <v>0</v>
      </c>
      <c r="P57" s="142">
        <v>0</v>
      </c>
      <c r="Q57" s="131">
        <f t="shared" si="3"/>
        <v>2016000</v>
      </c>
      <c r="R57" s="143">
        <f t="shared" si="21"/>
        <v>1680000</v>
      </c>
      <c r="S57" s="144">
        <f t="shared" si="22"/>
        <v>-336000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s="10" customFormat="1" x14ac:dyDescent="0.35">
      <c r="A58" s="9"/>
      <c r="B58" s="134" t="s">
        <v>87</v>
      </c>
      <c r="C58" s="134" t="s">
        <v>177</v>
      </c>
      <c r="D58" s="122" t="s">
        <v>230</v>
      </c>
      <c r="E58" s="135">
        <v>46295</v>
      </c>
      <c r="F58" s="135"/>
      <c r="G58" s="136"/>
      <c r="H58" s="137">
        <v>24</v>
      </c>
      <c r="I58" s="138">
        <v>70000</v>
      </c>
      <c r="J58" s="139">
        <f t="shared" si="19"/>
        <v>1680000</v>
      </c>
      <c r="K58" s="140">
        <v>0</v>
      </c>
      <c r="L58" s="138">
        <v>0</v>
      </c>
      <c r="M58" s="139">
        <f t="shared" si="20"/>
        <v>0</v>
      </c>
      <c r="N58" s="141">
        <v>0</v>
      </c>
      <c r="O58" s="141">
        <v>0</v>
      </c>
      <c r="P58" s="142">
        <v>0</v>
      </c>
      <c r="Q58" s="131">
        <f t="shared" si="3"/>
        <v>2016000</v>
      </c>
      <c r="R58" s="143">
        <f t="shared" si="21"/>
        <v>1680000</v>
      </c>
      <c r="S58" s="144">
        <f t="shared" si="22"/>
        <v>-336000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s="10" customFormat="1" x14ac:dyDescent="0.35">
      <c r="A59" s="9"/>
      <c r="B59" s="134" t="s">
        <v>88</v>
      </c>
      <c r="C59" s="134" t="s">
        <v>165</v>
      </c>
      <c r="D59" s="122" t="s">
        <v>230</v>
      </c>
      <c r="E59" s="135">
        <v>46297</v>
      </c>
      <c r="F59" s="135"/>
      <c r="G59" s="136"/>
      <c r="H59" s="137">
        <v>12</v>
      </c>
      <c r="I59" s="138">
        <v>70000</v>
      </c>
      <c r="J59" s="139">
        <f t="shared" si="19"/>
        <v>840000</v>
      </c>
      <c r="K59" s="140">
        <v>0</v>
      </c>
      <c r="L59" s="138">
        <v>0</v>
      </c>
      <c r="M59" s="139">
        <f t="shared" si="20"/>
        <v>0</v>
      </c>
      <c r="N59" s="141">
        <v>0</v>
      </c>
      <c r="O59" s="141">
        <v>0</v>
      </c>
      <c r="P59" s="142">
        <v>0</v>
      </c>
      <c r="Q59" s="131">
        <f t="shared" si="3"/>
        <v>1008000</v>
      </c>
      <c r="R59" s="143">
        <f t="shared" si="21"/>
        <v>840000</v>
      </c>
      <c r="S59" s="144">
        <f t="shared" si="22"/>
        <v>-168000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s="10" customFormat="1" x14ac:dyDescent="0.35">
      <c r="A60" s="9"/>
      <c r="B60" s="34" t="s">
        <v>89</v>
      </c>
      <c r="C60" s="34" t="s">
        <v>178</v>
      </c>
      <c r="D60" s="16" t="s">
        <v>33</v>
      </c>
      <c r="E60" s="39">
        <v>46287</v>
      </c>
      <c r="F60" s="39">
        <v>46287</v>
      </c>
      <c r="G60" s="49" t="s">
        <v>233</v>
      </c>
      <c r="H60" s="50">
        <v>16</v>
      </c>
      <c r="I60" s="41">
        <v>70000</v>
      </c>
      <c r="J60" s="51">
        <f t="shared" si="19"/>
        <v>1120000</v>
      </c>
      <c r="K60" s="40">
        <v>0</v>
      </c>
      <c r="L60" s="41">
        <v>0</v>
      </c>
      <c r="M60" s="51">
        <f t="shared" si="20"/>
        <v>0</v>
      </c>
      <c r="N60" s="42">
        <v>0</v>
      </c>
      <c r="O60" s="42">
        <v>0</v>
      </c>
      <c r="P60" s="52">
        <v>0</v>
      </c>
      <c r="Q60" s="83">
        <f t="shared" si="3"/>
        <v>1344000</v>
      </c>
      <c r="R60" s="53">
        <f t="shared" si="21"/>
        <v>1120000</v>
      </c>
      <c r="S60" s="54">
        <f t="shared" si="22"/>
        <v>-224000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s="10" customFormat="1" x14ac:dyDescent="0.35">
      <c r="A61" s="9"/>
      <c r="B61" s="134" t="s">
        <v>90</v>
      </c>
      <c r="C61" s="134" t="s">
        <v>179</v>
      </c>
      <c r="D61" s="122" t="s">
        <v>230</v>
      </c>
      <c r="E61" s="135">
        <v>46301</v>
      </c>
      <c r="F61" s="135"/>
      <c r="G61" s="136"/>
      <c r="H61" s="137">
        <v>12</v>
      </c>
      <c r="I61" s="138">
        <v>70000</v>
      </c>
      <c r="J61" s="139">
        <f t="shared" si="19"/>
        <v>840000</v>
      </c>
      <c r="K61" s="140">
        <v>0</v>
      </c>
      <c r="L61" s="138">
        <v>0</v>
      </c>
      <c r="M61" s="139">
        <f t="shared" si="20"/>
        <v>0</v>
      </c>
      <c r="N61" s="141">
        <v>0</v>
      </c>
      <c r="O61" s="141">
        <v>0</v>
      </c>
      <c r="P61" s="142">
        <v>0</v>
      </c>
      <c r="Q61" s="131">
        <f t="shared" si="3"/>
        <v>1008000</v>
      </c>
      <c r="R61" s="143">
        <f t="shared" si="21"/>
        <v>840000</v>
      </c>
      <c r="S61" s="144">
        <f t="shared" si="22"/>
        <v>-168000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s="10" customFormat="1" x14ac:dyDescent="0.35">
      <c r="A62" s="9"/>
      <c r="B62" s="61" t="s">
        <v>91</v>
      </c>
      <c r="C62" s="61" t="s">
        <v>180</v>
      </c>
      <c r="D62" s="16" t="s">
        <v>33</v>
      </c>
      <c r="E62" s="39">
        <v>46287</v>
      </c>
      <c r="F62" s="39">
        <v>46287</v>
      </c>
      <c r="G62" s="49" t="s">
        <v>233</v>
      </c>
      <c r="H62" s="65">
        <v>24</v>
      </c>
      <c r="I62" s="66">
        <v>70000</v>
      </c>
      <c r="J62" s="67">
        <f t="shared" si="19"/>
        <v>1680000</v>
      </c>
      <c r="K62" s="68">
        <v>0</v>
      </c>
      <c r="L62" s="66">
        <v>0</v>
      </c>
      <c r="M62" s="67">
        <f t="shared" si="20"/>
        <v>0</v>
      </c>
      <c r="N62" s="69">
        <v>0</v>
      </c>
      <c r="O62" s="69">
        <v>0</v>
      </c>
      <c r="P62" s="70">
        <v>0</v>
      </c>
      <c r="Q62" s="83">
        <f t="shared" si="3"/>
        <v>2016000</v>
      </c>
      <c r="R62" s="71">
        <f t="shared" si="21"/>
        <v>1680000</v>
      </c>
      <c r="S62" s="72">
        <f t="shared" si="22"/>
        <v>-336000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s="10" customFormat="1" ht="16" x14ac:dyDescent="0.35">
      <c r="A63" s="9"/>
      <c r="B63" s="90">
        <v>8</v>
      </c>
      <c r="C63" s="97" t="s">
        <v>225</v>
      </c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s="10" customFormat="1" ht="25" x14ac:dyDescent="0.35">
      <c r="A64" s="9"/>
      <c r="B64" s="73" t="s">
        <v>92</v>
      </c>
      <c r="C64" s="73" t="s">
        <v>181</v>
      </c>
      <c r="D64" s="16" t="s">
        <v>33</v>
      </c>
      <c r="E64" s="75">
        <v>46283</v>
      </c>
      <c r="F64" s="39">
        <v>46287</v>
      </c>
      <c r="G64" s="49" t="s">
        <v>233</v>
      </c>
      <c r="H64" s="77">
        <v>8</v>
      </c>
      <c r="I64" s="78">
        <v>70000</v>
      </c>
      <c r="J64" s="79">
        <f t="shared" si="19"/>
        <v>560000</v>
      </c>
      <c r="K64" s="80">
        <v>0</v>
      </c>
      <c r="L64" s="78">
        <v>0</v>
      </c>
      <c r="M64" s="79">
        <f t="shared" si="20"/>
        <v>0</v>
      </c>
      <c r="N64" s="81">
        <v>0</v>
      </c>
      <c r="O64" s="81">
        <v>0</v>
      </c>
      <c r="P64" s="82">
        <v>0</v>
      </c>
      <c r="Q64" s="83">
        <f t="shared" si="3"/>
        <v>672000</v>
      </c>
      <c r="R64" s="84">
        <f t="shared" si="21"/>
        <v>560000</v>
      </c>
      <c r="S64" s="85">
        <f t="shared" si="22"/>
        <v>-112000</v>
      </c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s="10" customFormat="1" ht="25" x14ac:dyDescent="0.35">
      <c r="A65" s="9"/>
      <c r="B65" s="34" t="s">
        <v>93</v>
      </c>
      <c r="C65" s="34" t="s">
        <v>182</v>
      </c>
      <c r="D65" s="16" t="s">
        <v>33</v>
      </c>
      <c r="E65" s="39">
        <v>46285</v>
      </c>
      <c r="F65" s="39">
        <v>46287</v>
      </c>
      <c r="G65" s="49" t="s">
        <v>233</v>
      </c>
      <c r="H65" s="50">
        <v>20</v>
      </c>
      <c r="I65" s="41">
        <v>70000</v>
      </c>
      <c r="J65" s="51">
        <f t="shared" si="19"/>
        <v>1400000</v>
      </c>
      <c r="K65" s="40">
        <v>0</v>
      </c>
      <c r="L65" s="41">
        <v>0</v>
      </c>
      <c r="M65" s="51">
        <f t="shared" si="20"/>
        <v>0</v>
      </c>
      <c r="N65" s="42">
        <v>0</v>
      </c>
      <c r="O65" s="42">
        <v>0</v>
      </c>
      <c r="P65" s="52">
        <v>0</v>
      </c>
      <c r="Q65" s="83">
        <f t="shared" si="3"/>
        <v>1680000</v>
      </c>
      <c r="R65" s="53">
        <f t="shared" si="21"/>
        <v>1400000</v>
      </c>
      <c r="S65" s="54">
        <f t="shared" si="22"/>
        <v>-280000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s="10" customFormat="1" ht="25" x14ac:dyDescent="0.35">
      <c r="A66" s="9"/>
      <c r="B66" s="34" t="s">
        <v>94</v>
      </c>
      <c r="C66" s="34" t="s">
        <v>183</v>
      </c>
      <c r="D66" s="16" t="s">
        <v>33</v>
      </c>
      <c r="E66" s="39">
        <v>46287</v>
      </c>
      <c r="F66" s="39">
        <v>46287</v>
      </c>
      <c r="G66" s="49" t="s">
        <v>233</v>
      </c>
      <c r="H66" s="50">
        <v>20</v>
      </c>
      <c r="I66" s="41">
        <v>70000</v>
      </c>
      <c r="J66" s="51">
        <f t="shared" si="19"/>
        <v>1400000</v>
      </c>
      <c r="K66" s="40">
        <v>0</v>
      </c>
      <c r="L66" s="41">
        <v>0</v>
      </c>
      <c r="M66" s="51">
        <f t="shared" si="20"/>
        <v>0</v>
      </c>
      <c r="N66" s="42">
        <v>0</v>
      </c>
      <c r="O66" s="42">
        <v>0</v>
      </c>
      <c r="P66" s="52">
        <v>0</v>
      </c>
      <c r="Q66" s="83">
        <f t="shared" si="3"/>
        <v>1680000</v>
      </c>
      <c r="R66" s="53">
        <f t="shared" si="21"/>
        <v>1400000</v>
      </c>
      <c r="S66" s="54">
        <f t="shared" si="22"/>
        <v>-280000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s="10" customFormat="1" ht="25" x14ac:dyDescent="0.35">
      <c r="A67" s="9"/>
      <c r="B67" s="34" t="s">
        <v>95</v>
      </c>
      <c r="C67" s="34" t="s">
        <v>184</v>
      </c>
      <c r="D67" s="16" t="s">
        <v>33</v>
      </c>
      <c r="E67" s="39">
        <v>46289</v>
      </c>
      <c r="F67" s="39">
        <v>46287</v>
      </c>
      <c r="G67" s="49" t="s">
        <v>233</v>
      </c>
      <c r="H67" s="50">
        <v>16</v>
      </c>
      <c r="I67" s="41">
        <v>70000</v>
      </c>
      <c r="J67" s="51">
        <f t="shared" si="19"/>
        <v>1120000</v>
      </c>
      <c r="K67" s="40">
        <v>0</v>
      </c>
      <c r="L67" s="41">
        <v>0</v>
      </c>
      <c r="M67" s="51">
        <f t="shared" si="20"/>
        <v>0</v>
      </c>
      <c r="N67" s="42">
        <v>0</v>
      </c>
      <c r="O67" s="42">
        <v>0</v>
      </c>
      <c r="P67" s="52">
        <v>0</v>
      </c>
      <c r="Q67" s="83">
        <f t="shared" si="3"/>
        <v>1344000</v>
      </c>
      <c r="R67" s="53">
        <f t="shared" si="21"/>
        <v>1120000</v>
      </c>
      <c r="S67" s="54">
        <f t="shared" si="22"/>
        <v>-224000</v>
      </c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s="10" customFormat="1" ht="25" x14ac:dyDescent="0.35">
      <c r="A68" s="9"/>
      <c r="B68" s="134" t="s">
        <v>96</v>
      </c>
      <c r="C68" s="134" t="s">
        <v>185</v>
      </c>
      <c r="D68" s="122" t="s">
        <v>230</v>
      </c>
      <c r="E68" s="135">
        <v>46291</v>
      </c>
      <c r="F68" s="135"/>
      <c r="G68" s="136"/>
      <c r="H68" s="137">
        <v>20</v>
      </c>
      <c r="I68" s="138">
        <v>70000</v>
      </c>
      <c r="J68" s="139">
        <f t="shared" si="19"/>
        <v>1400000</v>
      </c>
      <c r="K68" s="140">
        <v>0</v>
      </c>
      <c r="L68" s="138">
        <v>0</v>
      </c>
      <c r="M68" s="139">
        <f t="shared" si="20"/>
        <v>0</v>
      </c>
      <c r="N68" s="141">
        <v>0</v>
      </c>
      <c r="O68" s="141">
        <v>0</v>
      </c>
      <c r="P68" s="142">
        <v>0</v>
      </c>
      <c r="Q68" s="131">
        <f t="shared" si="3"/>
        <v>1680000</v>
      </c>
      <c r="R68" s="143">
        <f t="shared" si="21"/>
        <v>1400000</v>
      </c>
      <c r="S68" s="144">
        <f t="shared" si="22"/>
        <v>-280000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s="10" customFormat="1" x14ac:dyDescent="0.35">
      <c r="A69" s="9"/>
      <c r="B69" s="134" t="s">
        <v>97</v>
      </c>
      <c r="C69" s="134" t="s">
        <v>164</v>
      </c>
      <c r="D69" s="122" t="s">
        <v>230</v>
      </c>
      <c r="E69" s="135">
        <v>46293</v>
      </c>
      <c r="F69" s="135"/>
      <c r="G69" s="136"/>
      <c r="H69" s="137">
        <v>16</v>
      </c>
      <c r="I69" s="138">
        <v>70000</v>
      </c>
      <c r="J69" s="139">
        <f t="shared" si="19"/>
        <v>1120000</v>
      </c>
      <c r="K69" s="140">
        <v>0</v>
      </c>
      <c r="L69" s="138">
        <v>0</v>
      </c>
      <c r="M69" s="139">
        <f t="shared" si="20"/>
        <v>0</v>
      </c>
      <c r="N69" s="141">
        <v>0</v>
      </c>
      <c r="O69" s="141">
        <v>0</v>
      </c>
      <c r="P69" s="142">
        <v>0</v>
      </c>
      <c r="Q69" s="131">
        <f t="shared" si="3"/>
        <v>1344000</v>
      </c>
      <c r="R69" s="143">
        <f t="shared" si="21"/>
        <v>1120000</v>
      </c>
      <c r="S69" s="144">
        <f t="shared" si="22"/>
        <v>-224000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s="10" customFormat="1" ht="25" x14ac:dyDescent="0.35">
      <c r="A70" s="9"/>
      <c r="B70" s="134" t="s">
        <v>98</v>
      </c>
      <c r="C70" s="134" t="s">
        <v>186</v>
      </c>
      <c r="D70" s="122" t="s">
        <v>230</v>
      </c>
      <c r="E70" s="135">
        <v>46295</v>
      </c>
      <c r="F70" s="135"/>
      <c r="G70" s="136"/>
      <c r="H70" s="137">
        <v>16</v>
      </c>
      <c r="I70" s="138">
        <v>70000</v>
      </c>
      <c r="J70" s="139">
        <f t="shared" si="19"/>
        <v>1120000</v>
      </c>
      <c r="K70" s="140">
        <v>0</v>
      </c>
      <c r="L70" s="138">
        <v>0</v>
      </c>
      <c r="M70" s="139">
        <f t="shared" si="20"/>
        <v>0</v>
      </c>
      <c r="N70" s="141">
        <v>0</v>
      </c>
      <c r="O70" s="141">
        <v>0</v>
      </c>
      <c r="P70" s="142">
        <v>0</v>
      </c>
      <c r="Q70" s="131">
        <f t="shared" ref="Q70:Q106" si="23">J70+J70*0.2</f>
        <v>1344000</v>
      </c>
      <c r="R70" s="143">
        <f t="shared" si="21"/>
        <v>1120000</v>
      </c>
      <c r="S70" s="144">
        <f t="shared" si="22"/>
        <v>-224000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s="10" customFormat="1" x14ac:dyDescent="0.35">
      <c r="A71" s="9"/>
      <c r="B71" s="134" t="s">
        <v>99</v>
      </c>
      <c r="C71" s="134" t="s">
        <v>187</v>
      </c>
      <c r="D71" s="122" t="s">
        <v>230</v>
      </c>
      <c r="E71" s="135">
        <v>46297</v>
      </c>
      <c r="F71" s="135"/>
      <c r="G71" s="136"/>
      <c r="H71" s="137">
        <v>12</v>
      </c>
      <c r="I71" s="138">
        <v>70000</v>
      </c>
      <c r="J71" s="139">
        <f t="shared" si="19"/>
        <v>840000</v>
      </c>
      <c r="K71" s="140">
        <v>0</v>
      </c>
      <c r="L71" s="138">
        <v>0</v>
      </c>
      <c r="M71" s="139">
        <f t="shared" si="20"/>
        <v>0</v>
      </c>
      <c r="N71" s="141">
        <v>0</v>
      </c>
      <c r="O71" s="141">
        <v>0</v>
      </c>
      <c r="P71" s="142">
        <v>0</v>
      </c>
      <c r="Q71" s="131">
        <f t="shared" si="23"/>
        <v>1008000</v>
      </c>
      <c r="R71" s="143">
        <f t="shared" si="21"/>
        <v>840000</v>
      </c>
      <c r="S71" s="144">
        <f t="shared" si="22"/>
        <v>-168000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s="10" customFormat="1" x14ac:dyDescent="0.35">
      <c r="A72" s="9"/>
      <c r="B72" s="61" t="s">
        <v>100</v>
      </c>
      <c r="C72" s="61" t="s">
        <v>188</v>
      </c>
      <c r="D72" s="16" t="s">
        <v>33</v>
      </c>
      <c r="E72" s="39">
        <v>46289</v>
      </c>
      <c r="F72" s="39">
        <v>46289</v>
      </c>
      <c r="G72" s="49" t="s">
        <v>233</v>
      </c>
      <c r="H72" s="65">
        <v>20</v>
      </c>
      <c r="I72" s="66">
        <v>70000</v>
      </c>
      <c r="J72" s="67">
        <f t="shared" si="19"/>
        <v>1400000</v>
      </c>
      <c r="K72" s="68">
        <v>0</v>
      </c>
      <c r="L72" s="66">
        <v>0</v>
      </c>
      <c r="M72" s="67">
        <f t="shared" si="20"/>
        <v>0</v>
      </c>
      <c r="N72" s="69">
        <v>0</v>
      </c>
      <c r="O72" s="69">
        <v>0</v>
      </c>
      <c r="P72" s="70">
        <v>0</v>
      </c>
      <c r="Q72" s="83">
        <f t="shared" si="23"/>
        <v>1680000</v>
      </c>
      <c r="R72" s="71">
        <f t="shared" si="21"/>
        <v>1400000</v>
      </c>
      <c r="S72" s="72">
        <f t="shared" si="22"/>
        <v>-280000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s="10" customFormat="1" ht="16" x14ac:dyDescent="0.35">
      <c r="A73" s="9"/>
      <c r="B73" s="91">
        <v>9</v>
      </c>
      <c r="C73" s="98" t="s">
        <v>226</v>
      </c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s="10" customFormat="1" ht="25" x14ac:dyDescent="0.35">
      <c r="A74" s="9"/>
      <c r="B74" s="73" t="s">
        <v>101</v>
      </c>
      <c r="C74" s="73" t="s">
        <v>189</v>
      </c>
      <c r="D74" s="16" t="s">
        <v>33</v>
      </c>
      <c r="E74" s="39">
        <v>46289</v>
      </c>
      <c r="F74" s="49" t="s">
        <v>235</v>
      </c>
      <c r="G74" s="49" t="s">
        <v>235</v>
      </c>
      <c r="H74" s="77">
        <v>8</v>
      </c>
      <c r="I74" s="78">
        <v>70000</v>
      </c>
      <c r="J74" s="79">
        <f t="shared" si="19"/>
        <v>560000</v>
      </c>
      <c r="K74" s="80">
        <v>0</v>
      </c>
      <c r="L74" s="78">
        <v>0</v>
      </c>
      <c r="M74" s="79">
        <f t="shared" si="20"/>
        <v>0</v>
      </c>
      <c r="N74" s="81">
        <v>0</v>
      </c>
      <c r="O74" s="81">
        <v>0</v>
      </c>
      <c r="P74" s="82">
        <v>0</v>
      </c>
      <c r="Q74" s="83">
        <f t="shared" si="23"/>
        <v>672000</v>
      </c>
      <c r="R74" s="84">
        <f t="shared" si="21"/>
        <v>560000</v>
      </c>
      <c r="S74" s="85">
        <f t="shared" si="22"/>
        <v>-112000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s="10" customFormat="1" ht="25" x14ac:dyDescent="0.35">
      <c r="A75" s="9"/>
      <c r="B75" s="34" t="s">
        <v>102</v>
      </c>
      <c r="C75" s="34" t="s">
        <v>190</v>
      </c>
      <c r="D75" s="16" t="s">
        <v>33</v>
      </c>
      <c r="E75" s="39">
        <v>46289</v>
      </c>
      <c r="F75" s="49" t="s">
        <v>233</v>
      </c>
      <c r="G75" s="76" t="s">
        <v>234</v>
      </c>
      <c r="H75" s="50">
        <v>16</v>
      </c>
      <c r="I75" s="41">
        <v>70000</v>
      </c>
      <c r="J75" s="51">
        <f t="shared" si="19"/>
        <v>1120000</v>
      </c>
      <c r="K75" s="40">
        <v>0</v>
      </c>
      <c r="L75" s="41">
        <v>0</v>
      </c>
      <c r="M75" s="51">
        <f t="shared" si="20"/>
        <v>0</v>
      </c>
      <c r="N75" s="42">
        <v>0</v>
      </c>
      <c r="O75" s="42">
        <v>0</v>
      </c>
      <c r="P75" s="52">
        <v>0</v>
      </c>
      <c r="Q75" s="83">
        <f t="shared" si="23"/>
        <v>1344000</v>
      </c>
      <c r="R75" s="53">
        <f t="shared" si="21"/>
        <v>1120000</v>
      </c>
      <c r="S75" s="54">
        <f t="shared" si="22"/>
        <v>-224000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s="10" customFormat="1" ht="25" x14ac:dyDescent="0.35">
      <c r="A76" s="9"/>
      <c r="B76" s="134" t="s">
        <v>103</v>
      </c>
      <c r="C76" s="134" t="s">
        <v>191</v>
      </c>
      <c r="D76" s="122" t="s">
        <v>230</v>
      </c>
      <c r="E76" s="135">
        <v>46287</v>
      </c>
      <c r="F76" s="135"/>
      <c r="G76" s="136"/>
      <c r="H76" s="137">
        <v>20</v>
      </c>
      <c r="I76" s="138">
        <v>70000</v>
      </c>
      <c r="J76" s="139">
        <f t="shared" si="19"/>
        <v>1400000</v>
      </c>
      <c r="K76" s="140">
        <v>0</v>
      </c>
      <c r="L76" s="138">
        <v>0</v>
      </c>
      <c r="M76" s="139">
        <f t="shared" si="20"/>
        <v>0</v>
      </c>
      <c r="N76" s="141">
        <v>0</v>
      </c>
      <c r="O76" s="141">
        <v>0</v>
      </c>
      <c r="P76" s="142">
        <v>0</v>
      </c>
      <c r="Q76" s="131">
        <f t="shared" si="23"/>
        <v>1680000</v>
      </c>
      <c r="R76" s="143">
        <f t="shared" si="21"/>
        <v>1400000</v>
      </c>
      <c r="S76" s="144">
        <f t="shared" si="22"/>
        <v>-280000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s="10" customFormat="1" ht="25" x14ac:dyDescent="0.35">
      <c r="A77" s="9"/>
      <c r="B77" s="134" t="s">
        <v>104</v>
      </c>
      <c r="C77" s="134" t="s">
        <v>192</v>
      </c>
      <c r="D77" s="122" t="s">
        <v>230</v>
      </c>
      <c r="E77" s="135">
        <v>46289</v>
      </c>
      <c r="F77" s="135"/>
      <c r="G77" s="136"/>
      <c r="H77" s="137">
        <v>12</v>
      </c>
      <c r="I77" s="138">
        <v>70000</v>
      </c>
      <c r="J77" s="139">
        <f t="shared" si="19"/>
        <v>840000</v>
      </c>
      <c r="K77" s="140">
        <v>0</v>
      </c>
      <c r="L77" s="138">
        <v>0</v>
      </c>
      <c r="M77" s="139">
        <f t="shared" si="20"/>
        <v>0</v>
      </c>
      <c r="N77" s="141">
        <v>0</v>
      </c>
      <c r="O77" s="141">
        <v>0</v>
      </c>
      <c r="P77" s="142">
        <v>0</v>
      </c>
      <c r="Q77" s="131">
        <f t="shared" si="23"/>
        <v>1008000</v>
      </c>
      <c r="R77" s="143">
        <f t="shared" si="21"/>
        <v>840000</v>
      </c>
      <c r="S77" s="144">
        <f t="shared" si="22"/>
        <v>-168000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s="10" customFormat="1" ht="25" x14ac:dyDescent="0.35">
      <c r="A78" s="9"/>
      <c r="B78" s="134" t="s">
        <v>105</v>
      </c>
      <c r="C78" s="134" t="s">
        <v>185</v>
      </c>
      <c r="D78" s="122" t="s">
        <v>230</v>
      </c>
      <c r="E78" s="135">
        <v>46291</v>
      </c>
      <c r="F78" s="135"/>
      <c r="G78" s="136"/>
      <c r="H78" s="137">
        <v>16</v>
      </c>
      <c r="I78" s="138">
        <v>70000</v>
      </c>
      <c r="J78" s="139">
        <f t="shared" si="19"/>
        <v>1120000</v>
      </c>
      <c r="K78" s="140">
        <v>0</v>
      </c>
      <c r="L78" s="138">
        <v>0</v>
      </c>
      <c r="M78" s="139">
        <f t="shared" si="20"/>
        <v>0</v>
      </c>
      <c r="N78" s="141">
        <v>0</v>
      </c>
      <c r="O78" s="141">
        <v>0</v>
      </c>
      <c r="P78" s="142">
        <v>0</v>
      </c>
      <c r="Q78" s="131">
        <f t="shared" si="23"/>
        <v>1344000</v>
      </c>
      <c r="R78" s="143">
        <f t="shared" si="21"/>
        <v>1120000</v>
      </c>
      <c r="S78" s="144">
        <f t="shared" si="22"/>
        <v>-224000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s="10" customFormat="1" ht="25" x14ac:dyDescent="0.35">
      <c r="A79" s="9"/>
      <c r="B79" s="134" t="s">
        <v>106</v>
      </c>
      <c r="C79" s="134" t="s">
        <v>186</v>
      </c>
      <c r="D79" s="122" t="s">
        <v>230</v>
      </c>
      <c r="E79" s="135">
        <v>46293</v>
      </c>
      <c r="F79" s="135"/>
      <c r="G79" s="136"/>
      <c r="H79" s="137">
        <v>16</v>
      </c>
      <c r="I79" s="138">
        <v>70000</v>
      </c>
      <c r="J79" s="139">
        <f t="shared" si="19"/>
        <v>1120000</v>
      </c>
      <c r="K79" s="140">
        <v>0</v>
      </c>
      <c r="L79" s="138">
        <v>0</v>
      </c>
      <c r="M79" s="139">
        <f t="shared" si="20"/>
        <v>0</v>
      </c>
      <c r="N79" s="141">
        <v>0</v>
      </c>
      <c r="O79" s="141">
        <v>0</v>
      </c>
      <c r="P79" s="142">
        <v>0</v>
      </c>
      <c r="Q79" s="131">
        <f t="shared" si="23"/>
        <v>1344000</v>
      </c>
      <c r="R79" s="143">
        <f t="shared" si="21"/>
        <v>1120000</v>
      </c>
      <c r="S79" s="144">
        <f t="shared" si="22"/>
        <v>-224000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s="10" customFormat="1" ht="25" x14ac:dyDescent="0.35">
      <c r="A80" s="9"/>
      <c r="B80" s="134" t="s">
        <v>107</v>
      </c>
      <c r="C80" s="134" t="s">
        <v>193</v>
      </c>
      <c r="D80" s="122" t="s">
        <v>230</v>
      </c>
      <c r="E80" s="135">
        <v>46295</v>
      </c>
      <c r="F80" s="135"/>
      <c r="G80" s="136"/>
      <c r="H80" s="137">
        <v>20</v>
      </c>
      <c r="I80" s="138">
        <v>70000</v>
      </c>
      <c r="J80" s="139">
        <f t="shared" si="19"/>
        <v>1400000</v>
      </c>
      <c r="K80" s="140">
        <v>0</v>
      </c>
      <c r="L80" s="138">
        <v>0</v>
      </c>
      <c r="M80" s="139">
        <f t="shared" si="20"/>
        <v>0</v>
      </c>
      <c r="N80" s="141">
        <v>0</v>
      </c>
      <c r="O80" s="141">
        <v>0</v>
      </c>
      <c r="P80" s="142">
        <v>0</v>
      </c>
      <c r="Q80" s="131">
        <f t="shared" si="23"/>
        <v>1680000</v>
      </c>
      <c r="R80" s="143">
        <f t="shared" si="21"/>
        <v>1400000</v>
      </c>
      <c r="S80" s="144">
        <f t="shared" si="22"/>
        <v>-280000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s="10" customFormat="1" ht="25" x14ac:dyDescent="0.35">
      <c r="A81" s="9"/>
      <c r="B81" s="121" t="s">
        <v>108</v>
      </c>
      <c r="C81" s="121" t="s">
        <v>194</v>
      </c>
      <c r="D81" s="122" t="s">
        <v>230</v>
      </c>
      <c r="E81" s="135">
        <v>46295</v>
      </c>
      <c r="F81" s="135"/>
      <c r="G81" s="124"/>
      <c r="H81" s="125">
        <v>16</v>
      </c>
      <c r="I81" s="126">
        <v>70000</v>
      </c>
      <c r="J81" s="127">
        <f t="shared" si="19"/>
        <v>1120000</v>
      </c>
      <c r="K81" s="128">
        <v>0</v>
      </c>
      <c r="L81" s="126">
        <v>0</v>
      </c>
      <c r="M81" s="127">
        <f t="shared" si="20"/>
        <v>0</v>
      </c>
      <c r="N81" s="129">
        <v>0</v>
      </c>
      <c r="O81" s="129">
        <v>0</v>
      </c>
      <c r="P81" s="130">
        <v>0</v>
      </c>
      <c r="Q81" s="131">
        <f t="shared" si="23"/>
        <v>1344000</v>
      </c>
      <c r="R81" s="132">
        <f t="shared" si="21"/>
        <v>1120000</v>
      </c>
      <c r="S81" s="133">
        <f t="shared" si="22"/>
        <v>-224000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s="10" customFormat="1" ht="16" x14ac:dyDescent="0.35">
      <c r="A82" s="9"/>
      <c r="B82" s="92">
        <v>10</v>
      </c>
      <c r="C82" s="99" t="s">
        <v>227</v>
      </c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s="10" customFormat="1" ht="25" x14ac:dyDescent="0.35">
      <c r="A83" s="9"/>
      <c r="B83" s="73" t="s">
        <v>109</v>
      </c>
      <c r="C83" s="73" t="s">
        <v>195</v>
      </c>
      <c r="D83" s="74" t="s">
        <v>31</v>
      </c>
      <c r="E83" s="75">
        <v>46305</v>
      </c>
      <c r="F83" s="75"/>
      <c r="G83" s="76">
        <v>46306</v>
      </c>
      <c r="H83" s="77">
        <v>19</v>
      </c>
      <c r="I83" s="78">
        <v>90000</v>
      </c>
      <c r="J83" s="79">
        <f t="shared" si="19"/>
        <v>1710000</v>
      </c>
      <c r="K83" s="80">
        <v>0</v>
      </c>
      <c r="L83" s="78">
        <v>0</v>
      </c>
      <c r="M83" s="79">
        <f t="shared" si="20"/>
        <v>0</v>
      </c>
      <c r="N83" s="81">
        <v>0</v>
      </c>
      <c r="O83" s="81">
        <v>0</v>
      </c>
      <c r="P83" s="82">
        <v>0</v>
      </c>
      <c r="Q83" s="83">
        <f t="shared" si="23"/>
        <v>2052000</v>
      </c>
      <c r="R83" s="84">
        <f t="shared" si="21"/>
        <v>1710000</v>
      </c>
      <c r="S83" s="85">
        <f t="shared" si="22"/>
        <v>-342000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s="10" customFormat="1" ht="25" x14ac:dyDescent="0.35">
      <c r="A84" s="9"/>
      <c r="B84" s="34" t="s">
        <v>110</v>
      </c>
      <c r="C84" s="34" t="s">
        <v>196</v>
      </c>
      <c r="D84" s="16" t="s">
        <v>31</v>
      </c>
      <c r="E84" s="39">
        <v>46307</v>
      </c>
      <c r="F84" s="39"/>
      <c r="G84" s="49">
        <v>46308</v>
      </c>
      <c r="H84" s="50">
        <v>16</v>
      </c>
      <c r="I84" s="41">
        <v>75000</v>
      </c>
      <c r="J84" s="51">
        <f t="shared" si="19"/>
        <v>1200000</v>
      </c>
      <c r="K84" s="40">
        <v>1</v>
      </c>
      <c r="L84" s="41">
        <v>1100000</v>
      </c>
      <c r="M84" s="51">
        <f t="shared" si="20"/>
        <v>1100000</v>
      </c>
      <c r="N84" s="42">
        <v>0</v>
      </c>
      <c r="O84" s="42">
        <v>0</v>
      </c>
      <c r="P84" s="52">
        <v>0</v>
      </c>
      <c r="Q84" s="83">
        <f t="shared" si="23"/>
        <v>1440000</v>
      </c>
      <c r="R84" s="53">
        <f t="shared" si="21"/>
        <v>2300000</v>
      </c>
      <c r="S84" s="54">
        <f t="shared" si="22"/>
        <v>860000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s="10" customFormat="1" x14ac:dyDescent="0.35">
      <c r="A85" s="9"/>
      <c r="B85" s="34" t="s">
        <v>111</v>
      </c>
      <c r="C85" s="34" t="s">
        <v>197</v>
      </c>
      <c r="D85" s="16" t="s">
        <v>31</v>
      </c>
      <c r="E85" s="39">
        <v>46309</v>
      </c>
      <c r="F85" s="39"/>
      <c r="G85" s="49">
        <v>46310</v>
      </c>
      <c r="H85" s="50">
        <v>24</v>
      </c>
      <c r="I85" s="41">
        <v>75000</v>
      </c>
      <c r="J85" s="51">
        <f t="shared" si="19"/>
        <v>1800000</v>
      </c>
      <c r="K85" s="40">
        <v>1</v>
      </c>
      <c r="L85" s="41">
        <v>1000000</v>
      </c>
      <c r="M85" s="51">
        <f t="shared" si="20"/>
        <v>1000000</v>
      </c>
      <c r="N85" s="42">
        <v>0</v>
      </c>
      <c r="O85" s="42">
        <v>0</v>
      </c>
      <c r="P85" s="52">
        <v>0</v>
      </c>
      <c r="Q85" s="83">
        <f t="shared" si="23"/>
        <v>2160000</v>
      </c>
      <c r="R85" s="53">
        <f t="shared" si="21"/>
        <v>2800000</v>
      </c>
      <c r="S85" s="54">
        <f t="shared" si="22"/>
        <v>640000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s="10" customFormat="1" x14ac:dyDescent="0.35">
      <c r="A86" s="9"/>
      <c r="B86" s="34" t="s">
        <v>112</v>
      </c>
      <c r="C86" s="34" t="s">
        <v>198</v>
      </c>
      <c r="D86" s="16" t="s">
        <v>31</v>
      </c>
      <c r="E86" s="39">
        <v>46311</v>
      </c>
      <c r="F86" s="39"/>
      <c r="G86" s="49">
        <v>46312</v>
      </c>
      <c r="H86" s="50">
        <v>16</v>
      </c>
      <c r="I86" s="41">
        <v>75000</v>
      </c>
      <c r="J86" s="51">
        <f t="shared" si="19"/>
        <v>1200000</v>
      </c>
      <c r="K86" s="40">
        <v>1</v>
      </c>
      <c r="L86" s="41">
        <v>500000</v>
      </c>
      <c r="M86" s="51">
        <f t="shared" si="20"/>
        <v>500000</v>
      </c>
      <c r="N86" s="42">
        <v>0</v>
      </c>
      <c r="O86" s="42">
        <v>0</v>
      </c>
      <c r="P86" s="52">
        <v>0</v>
      </c>
      <c r="Q86" s="83">
        <f t="shared" si="23"/>
        <v>1440000</v>
      </c>
      <c r="R86" s="53">
        <f t="shared" si="21"/>
        <v>1700000</v>
      </c>
      <c r="S86" s="54">
        <f t="shared" si="22"/>
        <v>260000</v>
      </c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s="10" customFormat="1" ht="25" x14ac:dyDescent="0.35">
      <c r="A87" s="9"/>
      <c r="B87" s="61" t="s">
        <v>113</v>
      </c>
      <c r="C87" s="61" t="s">
        <v>199</v>
      </c>
      <c r="D87" s="62" t="s">
        <v>31</v>
      </c>
      <c r="E87" s="63">
        <v>46313</v>
      </c>
      <c r="F87" s="63"/>
      <c r="G87" s="64">
        <v>46314</v>
      </c>
      <c r="H87" s="65">
        <v>18</v>
      </c>
      <c r="I87" s="66">
        <v>60000</v>
      </c>
      <c r="J87" s="67">
        <f t="shared" si="19"/>
        <v>1080000</v>
      </c>
      <c r="K87" s="68">
        <v>0</v>
      </c>
      <c r="L87" s="66">
        <v>0</v>
      </c>
      <c r="M87" s="67">
        <f t="shared" si="20"/>
        <v>0</v>
      </c>
      <c r="N87" s="69">
        <v>0</v>
      </c>
      <c r="O87" s="69">
        <v>0</v>
      </c>
      <c r="P87" s="70">
        <v>0</v>
      </c>
      <c r="Q87" s="83">
        <f t="shared" si="23"/>
        <v>1296000</v>
      </c>
      <c r="R87" s="71">
        <f t="shared" si="21"/>
        <v>1080000</v>
      </c>
      <c r="S87" s="72">
        <f t="shared" si="22"/>
        <v>-216000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s="10" customFormat="1" ht="16" x14ac:dyDescent="0.35">
      <c r="A88" s="9"/>
      <c r="B88" s="93">
        <v>11</v>
      </c>
      <c r="C88" s="104" t="s">
        <v>228</v>
      </c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s="10" customFormat="1" x14ac:dyDescent="0.35">
      <c r="A89" s="9"/>
      <c r="B89" s="73" t="s">
        <v>114</v>
      </c>
      <c r="C89" s="73" t="s">
        <v>200</v>
      </c>
      <c r="D89" s="74" t="s">
        <v>31</v>
      </c>
      <c r="E89" s="75">
        <v>46315</v>
      </c>
      <c r="F89" s="75"/>
      <c r="G89" s="76">
        <v>46315</v>
      </c>
      <c r="H89" s="77">
        <v>8</v>
      </c>
      <c r="I89" s="78">
        <v>60000</v>
      </c>
      <c r="J89" s="79">
        <f t="shared" si="19"/>
        <v>480000</v>
      </c>
      <c r="K89" s="80">
        <v>0</v>
      </c>
      <c r="L89" s="78">
        <v>0</v>
      </c>
      <c r="M89" s="79">
        <f t="shared" si="20"/>
        <v>0</v>
      </c>
      <c r="N89" s="81">
        <v>0</v>
      </c>
      <c r="O89" s="81">
        <v>0</v>
      </c>
      <c r="P89" s="82">
        <v>0</v>
      </c>
      <c r="Q89" s="83">
        <f t="shared" si="23"/>
        <v>576000</v>
      </c>
      <c r="R89" s="84">
        <f t="shared" si="21"/>
        <v>480000</v>
      </c>
      <c r="S89" s="85">
        <f t="shared" si="22"/>
        <v>-96000</v>
      </c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s="10" customFormat="1" x14ac:dyDescent="0.35">
      <c r="A90" s="9"/>
      <c r="B90" s="34" t="s">
        <v>115</v>
      </c>
      <c r="C90" s="34" t="s">
        <v>201</v>
      </c>
      <c r="D90" s="16" t="s">
        <v>31</v>
      </c>
      <c r="E90" s="39">
        <v>46316</v>
      </c>
      <c r="F90" s="39"/>
      <c r="G90" s="49">
        <v>46317</v>
      </c>
      <c r="H90" s="50">
        <v>24</v>
      </c>
      <c r="I90" s="41">
        <v>60000</v>
      </c>
      <c r="J90" s="51">
        <f t="shared" si="19"/>
        <v>1440000</v>
      </c>
      <c r="K90" s="40">
        <v>0</v>
      </c>
      <c r="L90" s="41">
        <v>0</v>
      </c>
      <c r="M90" s="51">
        <f t="shared" si="20"/>
        <v>0</v>
      </c>
      <c r="N90" s="42">
        <v>0</v>
      </c>
      <c r="O90" s="42">
        <v>0</v>
      </c>
      <c r="P90" s="52">
        <v>0</v>
      </c>
      <c r="Q90" s="83">
        <f t="shared" si="23"/>
        <v>1728000</v>
      </c>
      <c r="R90" s="53">
        <f t="shared" si="21"/>
        <v>1440000</v>
      </c>
      <c r="S90" s="54">
        <f t="shared" si="22"/>
        <v>-288000</v>
      </c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s="10" customFormat="1" x14ac:dyDescent="0.35">
      <c r="A91" s="9"/>
      <c r="B91" s="34" t="s">
        <v>116</v>
      </c>
      <c r="C91" s="34" t="s">
        <v>202</v>
      </c>
      <c r="D91" s="16" t="s">
        <v>31</v>
      </c>
      <c r="E91" s="39">
        <v>46318</v>
      </c>
      <c r="F91" s="39"/>
      <c r="G91" s="49">
        <v>46319</v>
      </c>
      <c r="H91" s="50">
        <v>20</v>
      </c>
      <c r="I91" s="41">
        <v>60000</v>
      </c>
      <c r="J91" s="51">
        <f t="shared" si="19"/>
        <v>1200000</v>
      </c>
      <c r="K91" s="40">
        <v>0</v>
      </c>
      <c r="L91" s="41">
        <v>0</v>
      </c>
      <c r="M91" s="51">
        <f t="shared" si="20"/>
        <v>0</v>
      </c>
      <c r="N91" s="42">
        <v>0</v>
      </c>
      <c r="O91" s="42">
        <v>0</v>
      </c>
      <c r="P91" s="52">
        <v>0</v>
      </c>
      <c r="Q91" s="83">
        <f t="shared" si="23"/>
        <v>1440000</v>
      </c>
      <c r="R91" s="53">
        <f t="shared" si="21"/>
        <v>1200000</v>
      </c>
      <c r="S91" s="54">
        <f t="shared" si="22"/>
        <v>-240000</v>
      </c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s="10" customFormat="1" ht="25" x14ac:dyDescent="0.35">
      <c r="A92" s="9"/>
      <c r="B92" s="34" t="s">
        <v>117</v>
      </c>
      <c r="C92" s="34" t="s">
        <v>203</v>
      </c>
      <c r="D92" s="16" t="s">
        <v>31</v>
      </c>
      <c r="E92" s="39">
        <v>46320</v>
      </c>
      <c r="F92" s="39"/>
      <c r="G92" s="49">
        <v>46321</v>
      </c>
      <c r="H92" s="50">
        <v>16</v>
      </c>
      <c r="I92" s="41">
        <v>60000</v>
      </c>
      <c r="J92" s="51">
        <f t="shared" si="19"/>
        <v>960000</v>
      </c>
      <c r="K92" s="40">
        <v>0</v>
      </c>
      <c r="L92" s="41">
        <v>0</v>
      </c>
      <c r="M92" s="51">
        <f t="shared" si="20"/>
        <v>0</v>
      </c>
      <c r="N92" s="42">
        <v>0</v>
      </c>
      <c r="O92" s="42">
        <v>0</v>
      </c>
      <c r="P92" s="52">
        <v>300000</v>
      </c>
      <c r="Q92" s="83">
        <f t="shared" si="23"/>
        <v>1152000</v>
      </c>
      <c r="R92" s="53">
        <f t="shared" si="21"/>
        <v>1260000</v>
      </c>
      <c r="S92" s="54">
        <f t="shared" si="22"/>
        <v>108000</v>
      </c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s="10" customFormat="1" x14ac:dyDescent="0.35">
      <c r="A93" s="9"/>
      <c r="B93" s="34" t="s">
        <v>118</v>
      </c>
      <c r="C93" s="34" t="s">
        <v>204</v>
      </c>
      <c r="D93" s="16" t="s">
        <v>31</v>
      </c>
      <c r="E93" s="39">
        <v>46320</v>
      </c>
      <c r="F93" s="39"/>
      <c r="G93" s="49">
        <v>46321</v>
      </c>
      <c r="H93" s="50">
        <v>12</v>
      </c>
      <c r="I93" s="41">
        <v>60000</v>
      </c>
      <c r="J93" s="51">
        <f t="shared" si="19"/>
        <v>720000</v>
      </c>
      <c r="K93" s="40">
        <v>0</v>
      </c>
      <c r="L93" s="41">
        <v>0</v>
      </c>
      <c r="M93" s="51">
        <f t="shared" si="20"/>
        <v>0</v>
      </c>
      <c r="N93" s="42">
        <v>0</v>
      </c>
      <c r="O93" s="42">
        <v>0</v>
      </c>
      <c r="P93" s="52">
        <v>0</v>
      </c>
      <c r="Q93" s="83">
        <f t="shared" si="23"/>
        <v>864000</v>
      </c>
      <c r="R93" s="53">
        <f t="shared" si="21"/>
        <v>720000</v>
      </c>
      <c r="S93" s="54">
        <f t="shared" si="22"/>
        <v>-144000</v>
      </c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s="10" customFormat="1" x14ac:dyDescent="0.35">
      <c r="A94" s="9"/>
      <c r="B94" s="34" t="s">
        <v>119</v>
      </c>
      <c r="C94" s="34" t="s">
        <v>205</v>
      </c>
      <c r="D94" s="16" t="s">
        <v>31</v>
      </c>
      <c r="E94" s="39">
        <v>46320</v>
      </c>
      <c r="F94" s="39"/>
      <c r="G94" s="49">
        <v>46321</v>
      </c>
      <c r="H94" s="50">
        <v>12</v>
      </c>
      <c r="I94" s="41">
        <v>60000</v>
      </c>
      <c r="J94" s="51">
        <f t="shared" si="19"/>
        <v>720000</v>
      </c>
      <c r="K94" s="40">
        <v>0</v>
      </c>
      <c r="L94" s="41">
        <v>0</v>
      </c>
      <c r="M94" s="51">
        <f t="shared" si="20"/>
        <v>0</v>
      </c>
      <c r="N94" s="42">
        <v>0</v>
      </c>
      <c r="O94" s="42">
        <v>0</v>
      </c>
      <c r="P94" s="52">
        <v>0</v>
      </c>
      <c r="Q94" s="83">
        <f t="shared" si="23"/>
        <v>864000</v>
      </c>
      <c r="R94" s="53">
        <f t="shared" si="21"/>
        <v>720000</v>
      </c>
      <c r="S94" s="54">
        <f t="shared" si="22"/>
        <v>-144000</v>
      </c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s="10" customFormat="1" x14ac:dyDescent="0.35">
      <c r="A95" s="9"/>
      <c r="B95" s="34" t="s">
        <v>120</v>
      </c>
      <c r="C95" s="34" t="s">
        <v>206</v>
      </c>
      <c r="D95" s="16" t="s">
        <v>31</v>
      </c>
      <c r="E95" s="39">
        <v>46320</v>
      </c>
      <c r="F95" s="39"/>
      <c r="G95" s="49">
        <v>46321</v>
      </c>
      <c r="H95" s="50">
        <v>16</v>
      </c>
      <c r="I95" s="41">
        <v>60000</v>
      </c>
      <c r="J95" s="51">
        <f t="shared" si="19"/>
        <v>960000</v>
      </c>
      <c r="K95" s="40">
        <v>0</v>
      </c>
      <c r="L95" s="41">
        <v>0</v>
      </c>
      <c r="M95" s="51">
        <f t="shared" si="20"/>
        <v>0</v>
      </c>
      <c r="N95" s="42">
        <v>0</v>
      </c>
      <c r="O95" s="42">
        <v>0</v>
      </c>
      <c r="P95" s="52">
        <v>300000</v>
      </c>
      <c r="Q95" s="83">
        <f t="shared" si="23"/>
        <v>1152000</v>
      </c>
      <c r="R95" s="53">
        <f t="shared" si="21"/>
        <v>1260000</v>
      </c>
      <c r="S95" s="54">
        <f t="shared" si="22"/>
        <v>108000</v>
      </c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s="10" customFormat="1" ht="25" x14ac:dyDescent="0.35">
      <c r="A96" s="9"/>
      <c r="B96" s="34" t="s">
        <v>121</v>
      </c>
      <c r="C96" s="34" t="s">
        <v>207</v>
      </c>
      <c r="D96" s="16" t="s">
        <v>31</v>
      </c>
      <c r="E96" s="39">
        <v>46322</v>
      </c>
      <c r="F96" s="39"/>
      <c r="G96" s="49">
        <v>46322</v>
      </c>
      <c r="H96" s="50">
        <v>12</v>
      </c>
      <c r="I96" s="41">
        <v>60000</v>
      </c>
      <c r="J96" s="51">
        <f t="shared" si="19"/>
        <v>720000</v>
      </c>
      <c r="K96" s="40">
        <v>0</v>
      </c>
      <c r="L96" s="41">
        <v>0</v>
      </c>
      <c r="M96" s="51">
        <f t="shared" si="20"/>
        <v>0</v>
      </c>
      <c r="N96" s="42">
        <v>0</v>
      </c>
      <c r="O96" s="42">
        <v>0</v>
      </c>
      <c r="P96" s="52">
        <v>0</v>
      </c>
      <c r="Q96" s="83">
        <f t="shared" si="23"/>
        <v>864000</v>
      </c>
      <c r="R96" s="53">
        <f t="shared" si="21"/>
        <v>720000</v>
      </c>
      <c r="S96" s="54">
        <f t="shared" si="22"/>
        <v>-144000</v>
      </c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s="10" customFormat="1" x14ac:dyDescent="0.35">
      <c r="A97" s="9"/>
      <c r="B97" s="34" t="s">
        <v>122</v>
      </c>
      <c r="C97" s="34" t="s">
        <v>208</v>
      </c>
      <c r="D97" s="16" t="s">
        <v>31</v>
      </c>
      <c r="E97" s="39">
        <v>46320</v>
      </c>
      <c r="F97" s="39"/>
      <c r="G97" s="49">
        <v>46321</v>
      </c>
      <c r="H97" s="50">
        <v>12</v>
      </c>
      <c r="I97" s="41">
        <v>60000</v>
      </c>
      <c r="J97" s="51">
        <f t="shared" si="19"/>
        <v>720000</v>
      </c>
      <c r="K97" s="40">
        <v>1</v>
      </c>
      <c r="L97" s="41">
        <v>1000000</v>
      </c>
      <c r="M97" s="51">
        <f t="shared" si="20"/>
        <v>1000000</v>
      </c>
      <c r="N97" s="42">
        <v>0</v>
      </c>
      <c r="O97" s="42">
        <v>0</v>
      </c>
      <c r="P97" s="52">
        <v>200000</v>
      </c>
      <c r="Q97" s="83">
        <f t="shared" si="23"/>
        <v>864000</v>
      </c>
      <c r="R97" s="53">
        <f t="shared" si="21"/>
        <v>1920000</v>
      </c>
      <c r="S97" s="54">
        <f t="shared" si="22"/>
        <v>1056000</v>
      </c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s="10" customFormat="1" ht="25" x14ac:dyDescent="0.35">
      <c r="A98" s="9"/>
      <c r="B98" s="34" t="s">
        <v>123</v>
      </c>
      <c r="C98" s="34" t="s">
        <v>209</v>
      </c>
      <c r="D98" s="16" t="s">
        <v>31</v>
      </c>
      <c r="E98" s="39">
        <v>46323</v>
      </c>
      <c r="F98" s="39"/>
      <c r="G98" s="49">
        <v>46324</v>
      </c>
      <c r="H98" s="50">
        <v>32</v>
      </c>
      <c r="I98" s="41">
        <v>60000</v>
      </c>
      <c r="J98" s="51">
        <f t="shared" si="19"/>
        <v>1920000</v>
      </c>
      <c r="K98" s="40">
        <v>0</v>
      </c>
      <c r="L98" s="41">
        <v>0</v>
      </c>
      <c r="M98" s="51">
        <f t="shared" si="20"/>
        <v>0</v>
      </c>
      <c r="N98" s="42">
        <v>0</v>
      </c>
      <c r="O98" s="42">
        <v>0</v>
      </c>
      <c r="P98" s="52">
        <v>0</v>
      </c>
      <c r="Q98" s="83">
        <f t="shared" si="23"/>
        <v>2304000</v>
      </c>
      <c r="R98" s="53">
        <f t="shared" si="21"/>
        <v>1920000</v>
      </c>
      <c r="S98" s="54">
        <f t="shared" si="22"/>
        <v>-384000</v>
      </c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s="10" customFormat="1" x14ac:dyDescent="0.35">
      <c r="A99" s="9"/>
      <c r="B99" s="61" t="s">
        <v>124</v>
      </c>
      <c r="C99" s="61" t="s">
        <v>210</v>
      </c>
      <c r="D99" s="62" t="s">
        <v>31</v>
      </c>
      <c r="E99" s="63">
        <v>46325</v>
      </c>
      <c r="F99" s="63"/>
      <c r="G99" s="64">
        <v>46326</v>
      </c>
      <c r="H99" s="65">
        <v>16</v>
      </c>
      <c r="I99" s="66">
        <v>60000</v>
      </c>
      <c r="J99" s="67">
        <f t="shared" si="19"/>
        <v>960000</v>
      </c>
      <c r="K99" s="68">
        <v>0</v>
      </c>
      <c r="L99" s="66">
        <v>0</v>
      </c>
      <c r="M99" s="67">
        <f t="shared" si="20"/>
        <v>0</v>
      </c>
      <c r="N99" s="69">
        <v>0</v>
      </c>
      <c r="O99" s="69">
        <v>0</v>
      </c>
      <c r="P99" s="70">
        <v>0</v>
      </c>
      <c r="Q99" s="83">
        <f t="shared" si="23"/>
        <v>1152000</v>
      </c>
      <c r="R99" s="71">
        <f t="shared" si="21"/>
        <v>960000</v>
      </c>
      <c r="S99" s="72">
        <f t="shared" si="22"/>
        <v>-192000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s="10" customFormat="1" ht="16" x14ac:dyDescent="0.35">
      <c r="A100" s="9"/>
      <c r="B100" s="58">
        <v>12</v>
      </c>
      <c r="C100" s="94" t="s">
        <v>229</v>
      </c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s="10" customFormat="1" ht="25" x14ac:dyDescent="0.35">
      <c r="A101" s="9"/>
      <c r="B101" s="73" t="s">
        <v>125</v>
      </c>
      <c r="C101" s="73" t="s">
        <v>213</v>
      </c>
      <c r="D101" s="74" t="s">
        <v>31</v>
      </c>
      <c r="E101" s="75">
        <v>46327</v>
      </c>
      <c r="F101" s="75"/>
      <c r="G101" s="76">
        <v>46327</v>
      </c>
      <c r="H101" s="77">
        <v>8</v>
      </c>
      <c r="I101" s="78">
        <v>80000</v>
      </c>
      <c r="J101" s="79">
        <f t="shared" si="19"/>
        <v>640000</v>
      </c>
      <c r="K101" s="80">
        <v>0</v>
      </c>
      <c r="L101" s="78">
        <v>0</v>
      </c>
      <c r="M101" s="79">
        <f t="shared" si="20"/>
        <v>0</v>
      </c>
      <c r="N101" s="81">
        <v>0</v>
      </c>
      <c r="O101" s="81">
        <v>0</v>
      </c>
      <c r="P101" s="82">
        <v>0</v>
      </c>
      <c r="Q101" s="83">
        <f t="shared" si="23"/>
        <v>768000</v>
      </c>
      <c r="R101" s="84">
        <f t="shared" si="21"/>
        <v>640000</v>
      </c>
      <c r="S101" s="85">
        <f t="shared" si="22"/>
        <v>-128000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s="10" customFormat="1" x14ac:dyDescent="0.35">
      <c r="A102" s="9"/>
      <c r="B102" s="34" t="s">
        <v>126</v>
      </c>
      <c r="C102" s="34" t="s">
        <v>214</v>
      </c>
      <c r="D102" s="16" t="s">
        <v>31</v>
      </c>
      <c r="E102" s="39">
        <v>46328</v>
      </c>
      <c r="F102" s="39"/>
      <c r="G102" s="49">
        <v>46328</v>
      </c>
      <c r="H102" s="50">
        <v>8</v>
      </c>
      <c r="I102" s="41">
        <v>80000</v>
      </c>
      <c r="J102" s="51">
        <f t="shared" si="19"/>
        <v>640000</v>
      </c>
      <c r="K102" s="40">
        <v>0</v>
      </c>
      <c r="L102" s="41">
        <v>0</v>
      </c>
      <c r="M102" s="51">
        <f t="shared" si="20"/>
        <v>0</v>
      </c>
      <c r="N102" s="42">
        <v>0</v>
      </c>
      <c r="O102" s="42">
        <v>0</v>
      </c>
      <c r="P102" s="52">
        <v>0</v>
      </c>
      <c r="Q102" s="83">
        <f t="shared" si="23"/>
        <v>768000</v>
      </c>
      <c r="R102" s="53">
        <f t="shared" si="21"/>
        <v>640000</v>
      </c>
      <c r="S102" s="54">
        <f t="shared" si="22"/>
        <v>-128000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s="10" customFormat="1" x14ac:dyDescent="0.35">
      <c r="A103" s="9"/>
      <c r="B103" s="34" t="s">
        <v>127</v>
      </c>
      <c r="C103" s="34" t="s">
        <v>217</v>
      </c>
      <c r="D103" s="16" t="s">
        <v>31</v>
      </c>
      <c r="E103" s="39">
        <v>46329</v>
      </c>
      <c r="F103" s="39"/>
      <c r="G103" s="49">
        <v>46329</v>
      </c>
      <c r="H103" s="50">
        <v>6</v>
      </c>
      <c r="I103" s="41">
        <v>70000</v>
      </c>
      <c r="J103" s="51">
        <f t="shared" si="19"/>
        <v>420000</v>
      </c>
      <c r="K103" s="40">
        <v>1</v>
      </c>
      <c r="L103" s="41">
        <v>500000</v>
      </c>
      <c r="M103" s="51">
        <f t="shared" si="20"/>
        <v>500000</v>
      </c>
      <c r="N103" s="42">
        <v>0</v>
      </c>
      <c r="O103" s="42">
        <v>0</v>
      </c>
      <c r="P103" s="52">
        <v>0</v>
      </c>
      <c r="Q103" s="83">
        <f t="shared" si="23"/>
        <v>504000</v>
      </c>
      <c r="R103" s="53">
        <f t="shared" si="21"/>
        <v>920000</v>
      </c>
      <c r="S103" s="54">
        <f t="shared" si="22"/>
        <v>416000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s="10" customFormat="1" ht="25" x14ac:dyDescent="0.35">
      <c r="A104" s="9"/>
      <c r="B104" s="34" t="s">
        <v>128</v>
      </c>
      <c r="C104" s="34" t="s">
        <v>215</v>
      </c>
      <c r="D104" s="16" t="s">
        <v>31</v>
      </c>
      <c r="E104" s="39">
        <v>46330</v>
      </c>
      <c r="F104" s="39"/>
      <c r="G104" s="49">
        <v>46330</v>
      </c>
      <c r="H104" s="50">
        <v>8</v>
      </c>
      <c r="I104" s="41">
        <v>80000</v>
      </c>
      <c r="J104" s="51">
        <f t="shared" si="1"/>
        <v>640000</v>
      </c>
      <c r="K104" s="40">
        <v>0</v>
      </c>
      <c r="L104" s="41">
        <v>0</v>
      </c>
      <c r="M104" s="51">
        <f t="shared" si="2"/>
        <v>0</v>
      </c>
      <c r="N104" s="42">
        <v>0</v>
      </c>
      <c r="O104" s="42">
        <v>0</v>
      </c>
      <c r="P104" s="52">
        <v>0</v>
      </c>
      <c r="Q104" s="83">
        <f t="shared" si="23"/>
        <v>768000</v>
      </c>
      <c r="R104" s="53">
        <f t="shared" si="4"/>
        <v>640000</v>
      </c>
      <c r="S104" s="54">
        <f t="shared" si="0"/>
        <v>-128000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s="10" customFormat="1" ht="25" x14ac:dyDescent="0.35">
      <c r="A105" s="9"/>
      <c r="B105" s="34" t="s">
        <v>129</v>
      </c>
      <c r="C105" s="34" t="s">
        <v>211</v>
      </c>
      <c r="D105" s="16" t="s">
        <v>31</v>
      </c>
      <c r="E105" s="39">
        <v>46331</v>
      </c>
      <c r="F105" s="39"/>
      <c r="G105" s="49">
        <v>46331</v>
      </c>
      <c r="H105" s="50">
        <v>6</v>
      </c>
      <c r="I105" s="41">
        <v>60000</v>
      </c>
      <c r="J105" s="51">
        <f t="shared" ref="J105:J106" si="24">H105*I105</f>
        <v>360000</v>
      </c>
      <c r="K105" s="40">
        <v>0</v>
      </c>
      <c r="L105" s="41">
        <v>0</v>
      </c>
      <c r="M105" s="51">
        <f t="shared" ref="M105:M106" si="25">K105*L105</f>
        <v>0</v>
      </c>
      <c r="N105" s="42">
        <v>0</v>
      </c>
      <c r="O105" s="42">
        <v>0</v>
      </c>
      <c r="P105" s="52">
        <v>0</v>
      </c>
      <c r="Q105" s="83">
        <f t="shared" si="23"/>
        <v>432000</v>
      </c>
      <c r="R105" s="53">
        <f t="shared" ref="R105:R106" si="26">J105+M105+N105+O105+P105</f>
        <v>360000</v>
      </c>
      <c r="S105" s="54">
        <f t="shared" ref="S105:S106" si="27">R105-Q105</f>
        <v>-72000</v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s="10" customFormat="1" x14ac:dyDescent="0.35">
      <c r="A106" s="9"/>
      <c r="B106" s="34" t="s">
        <v>130</v>
      </c>
      <c r="C106" s="34" t="s">
        <v>216</v>
      </c>
      <c r="D106" s="16" t="s">
        <v>31</v>
      </c>
      <c r="E106" s="39">
        <v>46332</v>
      </c>
      <c r="F106" s="39"/>
      <c r="G106" s="49">
        <v>46332</v>
      </c>
      <c r="H106" s="50">
        <v>12</v>
      </c>
      <c r="I106" s="41">
        <v>50000</v>
      </c>
      <c r="J106" s="51">
        <f t="shared" si="24"/>
        <v>600000</v>
      </c>
      <c r="K106" s="40">
        <v>0</v>
      </c>
      <c r="L106" s="41">
        <v>0</v>
      </c>
      <c r="M106" s="51">
        <f t="shared" si="25"/>
        <v>0</v>
      </c>
      <c r="N106" s="42">
        <v>0</v>
      </c>
      <c r="O106" s="42">
        <v>0</v>
      </c>
      <c r="P106" s="52">
        <v>0</v>
      </c>
      <c r="Q106" s="83">
        <f t="shared" si="23"/>
        <v>720000</v>
      </c>
      <c r="R106" s="53">
        <f t="shared" si="26"/>
        <v>600000</v>
      </c>
      <c r="S106" s="54">
        <f t="shared" si="27"/>
        <v>-120000</v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s="10" customFormat="1" ht="25" customHeight="1" x14ac:dyDescent="0.35">
      <c r="A107" s="9"/>
      <c r="B107" s="19" t="s">
        <v>0</v>
      </c>
      <c r="C107" s="19"/>
      <c r="D107" s="35"/>
      <c r="E107" s="20"/>
      <c r="F107" s="20"/>
      <c r="G107" s="48"/>
      <c r="H107" s="44"/>
      <c r="I107" s="36"/>
      <c r="J107" s="38">
        <f>SUM(J5:J104)</f>
        <v>102475000</v>
      </c>
      <c r="K107" s="38"/>
      <c r="L107" s="38"/>
      <c r="M107" s="38">
        <f>SUM(M5:M104)</f>
        <v>7400000</v>
      </c>
      <c r="N107" s="38">
        <f>SUM(N5:N104)</f>
        <v>0</v>
      </c>
      <c r="O107" s="38">
        <f>SUM(O5:O104)</f>
        <v>19600000</v>
      </c>
      <c r="P107" s="43">
        <f>SUM(P5:P104)</f>
        <v>800000</v>
      </c>
      <c r="Q107" s="46">
        <f>SUM(Q5:Q104)</f>
        <v>122970000</v>
      </c>
      <c r="R107" s="45">
        <f>SUM(J107:P107)</f>
        <v>130275000</v>
      </c>
      <c r="S107" s="45">
        <f>R107-Q107</f>
        <v>7305000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s="10" customFormat="1" ht="25" x14ac:dyDescent="0.35">
      <c r="A108" s="9"/>
      <c r="B108" s="11" t="s">
        <v>130</v>
      </c>
      <c r="C108" s="11" t="s">
        <v>212</v>
      </c>
      <c r="D108" s="11"/>
      <c r="E108" s="11"/>
      <c r="F108" s="11"/>
      <c r="G108" s="11"/>
      <c r="H108" s="12"/>
      <c r="I108" s="13"/>
      <c r="J108" s="13"/>
      <c r="K108" s="12"/>
      <c r="L108" s="13"/>
      <c r="M108" s="13"/>
      <c r="N108" s="12"/>
      <c r="O108" s="12"/>
      <c r="P108" s="13"/>
      <c r="Q108" s="14"/>
      <c r="R108" s="13"/>
      <c r="S108" s="15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s="10" customFormat="1" x14ac:dyDescent="0.25">
      <c r="A109" s="9"/>
      <c r="B109" s="6"/>
      <c r="C109" s="6"/>
      <c r="D109" s="6"/>
      <c r="E109" s="6"/>
      <c r="F109" s="6"/>
      <c r="G109" s="6"/>
      <c r="H109" s="1"/>
      <c r="I109" s="2"/>
      <c r="J109" s="2"/>
      <c r="K109" s="1"/>
      <c r="L109" s="2"/>
      <c r="M109" s="2"/>
      <c r="N109" s="1"/>
      <c r="O109" s="1"/>
      <c r="P109" s="2"/>
      <c r="Q109" s="7"/>
      <c r="R109" s="2"/>
      <c r="S109" s="3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s="10" customFormat="1" x14ac:dyDescent="0.25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s="10" customFormat="1" x14ac:dyDescent="0.25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s="10" customFormat="1" x14ac:dyDescent="0.25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 s="10" customFormat="1" x14ac:dyDescent="0.25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 s="10" customFormat="1" x14ac:dyDescent="0.25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 s="10" customFormat="1" x14ac:dyDescent="0.2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 s="10" customFormat="1" x14ac:dyDescent="0.25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 s="10" customFormat="1" x14ac:dyDescent="0.25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 s="10" customFormat="1" x14ac:dyDescent="0.25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 s="10" customFormat="1" x14ac:dyDescent="0.25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 s="10" customFormat="1" x14ac:dyDescent="0.25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 s="10" customFormat="1" x14ac:dyDescent="0.25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 s="4" customFormat="1" x14ac:dyDescent="0.25"/>
    <row r="123" spans="1:4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4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4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4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4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4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4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4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4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25">
      <c r="A498" s="4"/>
      <c r="T498" s="4"/>
      <c r="U498" s="4"/>
    </row>
    <row r="499" spans="1:21" x14ac:dyDescent="0.25">
      <c r="A499" s="4"/>
      <c r="T499" s="4"/>
      <c r="U499" s="4"/>
    </row>
    <row r="500" spans="1:21" x14ac:dyDescent="0.25">
      <c r="A500" s="4"/>
      <c r="T500" s="4"/>
      <c r="U500" s="4"/>
    </row>
    <row r="501" spans="1:21" x14ac:dyDescent="0.25">
      <c r="A501" s="4"/>
      <c r="T501" s="4"/>
      <c r="U501" s="4"/>
    </row>
    <row r="502" spans="1:21" x14ac:dyDescent="0.25">
      <c r="A502" s="4"/>
      <c r="T502" s="4"/>
      <c r="U502" s="4"/>
    </row>
    <row r="503" spans="1:21" x14ac:dyDescent="0.25">
      <c r="A503" s="4"/>
      <c r="T503" s="4"/>
      <c r="U503" s="4"/>
    </row>
    <row r="504" spans="1:21" x14ac:dyDescent="0.25">
      <c r="A504" s="4"/>
      <c r="T504" s="4"/>
      <c r="U504" s="4"/>
    </row>
    <row r="505" spans="1:21" x14ac:dyDescent="0.25">
      <c r="A505" s="4"/>
      <c r="T505" s="4"/>
      <c r="U505" s="4"/>
    </row>
    <row r="506" spans="1:21" x14ac:dyDescent="0.25">
      <c r="A506" s="4"/>
      <c r="T506" s="4"/>
      <c r="U506" s="4"/>
    </row>
    <row r="507" spans="1:21" x14ac:dyDescent="0.25">
      <c r="A507" s="4"/>
      <c r="T507" s="4"/>
      <c r="U507" s="4"/>
    </row>
    <row r="508" spans="1:21" x14ac:dyDescent="0.25">
      <c r="A508" s="4"/>
      <c r="T508" s="4"/>
      <c r="U508" s="4"/>
    </row>
    <row r="509" spans="1:21" x14ac:dyDescent="0.25">
      <c r="A509" s="4"/>
      <c r="T509" s="4"/>
      <c r="U509" s="4"/>
    </row>
    <row r="510" spans="1:21" x14ac:dyDescent="0.25">
      <c r="A510" s="4"/>
      <c r="T510" s="4"/>
      <c r="U510" s="4"/>
    </row>
  </sheetData>
  <autoFilter ref="B1:S108" xr:uid="{290CA1F2-2597-1742-BA2F-7AF250B49533}"/>
  <mergeCells count="4">
    <mergeCell ref="H2:J2"/>
    <mergeCell ref="K2:M2"/>
    <mergeCell ref="N2:P2"/>
    <mergeCell ref="Q2:S2"/>
  </mergeCells>
  <conditionalFormatting sqref="C17">
    <cfRule type="containsText" dxfId="34" priority="5" operator="containsText" text="On Hold">
      <formula>NOT(ISERROR(SEARCH("On Hold",C17)))</formula>
    </cfRule>
    <cfRule type="containsText" dxfId="33" priority="6" operator="containsText" text="Complete">
      <formula>NOT(ISERROR(SEARCH("Complete",C17)))</formula>
    </cfRule>
    <cfRule type="containsText" dxfId="32" priority="7" operator="containsText" text="In Progress">
      <formula>NOT(ISERROR(SEARCH("In Progress",C17)))</formula>
    </cfRule>
    <cfRule type="containsText" dxfId="31" priority="8" operator="containsText" text="Not Started">
      <formula>NOT(ISERROR(SEARCH("Not Started",C17)))</formula>
    </cfRule>
  </conditionalFormatting>
  <conditionalFormatting sqref="C24">
    <cfRule type="containsText" dxfId="30" priority="1" operator="containsText" text="On Hold">
      <formula>NOT(ISERROR(SEARCH("On Hold",C24)))</formula>
    </cfRule>
    <cfRule type="containsText" dxfId="29" priority="2" operator="containsText" text="Complete">
      <formula>NOT(ISERROR(SEARCH("Complete",C24)))</formula>
    </cfRule>
    <cfRule type="containsText" dxfId="28" priority="3" operator="containsText" text="In Progress">
      <formula>NOT(ISERROR(SEARCH("In Progress",C24)))</formula>
    </cfRule>
    <cfRule type="containsText" dxfId="27" priority="4" operator="containsText" text="Not Started">
      <formula>NOT(ISERROR(SEARCH("Not Started",C24)))</formula>
    </cfRule>
  </conditionalFormatting>
  <conditionalFormatting sqref="D5:D10 D83:D87 D89:D99 D101:D106 D12:D16 D18:D23 D25:D28 D30:D33 D35:D50 D52:D62 D64:D72 D74:D81">
    <cfRule type="cellIs" dxfId="26" priority="24" operator="equal">
      <formula>"No Iniciado"</formula>
    </cfRule>
    <cfRule type="cellIs" dxfId="25" priority="25" operator="equal">
      <formula>"Aprobado"</formula>
    </cfRule>
    <cfRule type="cellIs" dxfId="24" priority="26" operator="equal">
      <formula>"En Espera"</formula>
    </cfRule>
    <cfRule type="cellIs" dxfId="23" priority="27" operator="equal">
      <formula>"Atrasado"</formula>
    </cfRule>
    <cfRule type="cellIs" dxfId="22" priority="28" operator="equal">
      <formula>"Aprovado"</formula>
    </cfRule>
    <cfRule type="cellIs" dxfId="21" priority="29" operator="equal">
      <formula>"Requiere Revisión"</formula>
    </cfRule>
    <cfRule type="cellIs" dxfId="20" priority="30" operator="equal">
      <formula>"En Progreso"</formula>
    </cfRule>
    <cfRule type="cellIs" dxfId="19" priority="31" operator="equal">
      <formula>"Completo"</formula>
    </cfRule>
    <cfRule type="containsText" dxfId="18" priority="32" operator="containsText" text="Approved">
      <formula>NOT(ISERROR(SEARCH("Approved",D5)))</formula>
    </cfRule>
    <cfRule type="containsText" dxfId="17" priority="33" operator="containsText" text="Needs Review">
      <formula>NOT(ISERROR(SEARCH("Needs Review",D5)))</formula>
    </cfRule>
    <cfRule type="containsText" dxfId="16" priority="34" operator="containsText" text="Not Started">
      <formula>NOT(ISERROR(SEARCH("Not Started",D5)))</formula>
    </cfRule>
    <cfRule type="containsText" dxfId="15" priority="35" operator="containsText" text="On Hold">
      <formula>NOT(ISERROR(SEARCH("On Hold",D5)))</formula>
    </cfRule>
    <cfRule type="containsText" dxfId="14" priority="36" operator="containsText" text="Overdue">
      <formula>NOT(ISERROR(SEARCH("Overdue",D5)))</formula>
    </cfRule>
    <cfRule type="containsText" dxfId="13" priority="37" operator="containsText" text="Complete">
      <formula>NOT(ISERROR(SEARCH("Complete",D5)))</formula>
    </cfRule>
    <cfRule type="containsText" dxfId="12" priority="38" operator="containsText" text="In Progress">
      <formula>NOT(ISERROR(SEARCH("In Progress",D5)))</formula>
    </cfRule>
  </conditionalFormatting>
  <conditionalFormatting sqref="S5:S10 S12:S16 S18:S23 S25:S28 S30:S33 S35:S50 S52:S62 S64:S72 S74:S81 S83:S87 S89:S99 S101:S107">
    <cfRule type="cellIs" dxfId="11" priority="52" operator="lessThan">
      <formula>0</formula>
    </cfRule>
    <cfRule type="cellIs" dxfId="10" priority="53" operator="greaterThan">
      <formula>0</formula>
    </cfRule>
  </conditionalFormatting>
  <conditionalFormatting sqref="S10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D5:D10 D101:D106 D12:D16 D18:D23 D25:D28 D64:D72 D30:D33 D35:D50 D52:D62 D83:D87 D89:D99 D74:D81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topLeftCell="A2" workbookViewId="0">
      <selection activeCell="F11" sqref="F11"/>
    </sheetView>
  </sheetViews>
  <sheetFormatPr baseColWidth="10" defaultRowHeight="15.5" x14ac:dyDescent="0.35"/>
  <cols>
    <col min="1" max="1" width="3.33203125" style="10" customWidth="1"/>
    <col min="2" max="2" width="10.83203125" style="10"/>
    <col min="3" max="3" width="3.33203125" style="10" customWidth="1"/>
    <col min="5" max="5" width="3.33203125" style="10" customWidth="1"/>
    <col min="6" max="6" width="12.83203125" customWidth="1"/>
    <col min="7" max="7" width="3.33203125" style="10" customWidth="1"/>
  </cols>
  <sheetData>
    <row r="1" spans="1:32" s="10" customFormat="1" ht="42" customHeight="1" thickBot="1" x14ac:dyDescent="0.4">
      <c r="B1" s="32" t="s">
        <v>38</v>
      </c>
      <c r="C1" s="8"/>
      <c r="D1" s="8"/>
      <c r="E1" s="8"/>
      <c r="F1" s="8"/>
      <c r="G1" s="8"/>
      <c r="H1" s="8"/>
      <c r="I1" s="8"/>
      <c r="J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5" customHeight="1" thickTop="1" x14ac:dyDescent="0.35">
      <c r="A2" s="9"/>
      <c r="B2" s="31" t="s">
        <v>26</v>
      </c>
      <c r="C2" s="9"/>
      <c r="D2" s="31" t="s">
        <v>39</v>
      </c>
      <c r="E2" s="9"/>
      <c r="F2" s="31" t="s">
        <v>10</v>
      </c>
      <c r="G2" s="9"/>
    </row>
    <row r="3" spans="1:32" ht="35.15" customHeight="1" x14ac:dyDescent="0.35">
      <c r="A3" s="9"/>
      <c r="B3" s="30" t="s">
        <v>27</v>
      </c>
      <c r="C3" s="9"/>
      <c r="D3" s="29" t="s">
        <v>28</v>
      </c>
      <c r="E3" s="9"/>
      <c r="F3" s="55" t="s">
        <v>31</v>
      </c>
      <c r="G3" s="9"/>
    </row>
    <row r="4" spans="1:32" ht="35.15" customHeight="1" x14ac:dyDescent="0.35">
      <c r="A4" s="9"/>
      <c r="B4" s="28" t="s">
        <v>1</v>
      </c>
      <c r="C4" s="9"/>
      <c r="D4" s="27" t="s">
        <v>29</v>
      </c>
      <c r="E4" s="9"/>
      <c r="F4" s="56" t="s">
        <v>32</v>
      </c>
      <c r="G4" s="9"/>
    </row>
    <row r="5" spans="1:32" ht="35.15" customHeight="1" x14ac:dyDescent="0.35">
      <c r="A5" s="9"/>
      <c r="C5" s="9"/>
      <c r="D5" s="26" t="s">
        <v>30</v>
      </c>
      <c r="E5" s="9"/>
      <c r="F5" s="57" t="s">
        <v>33</v>
      </c>
      <c r="G5" s="9"/>
    </row>
    <row r="6" spans="1:32" ht="35.15" customHeight="1" x14ac:dyDescent="0.35">
      <c r="A6" s="9"/>
      <c r="C6" s="9"/>
      <c r="D6" s="22"/>
      <c r="E6" s="9"/>
      <c r="F6" s="25" t="s">
        <v>36</v>
      </c>
      <c r="G6" s="9"/>
    </row>
    <row r="7" spans="1:32" ht="35.15" customHeight="1" x14ac:dyDescent="0.35">
      <c r="A7" s="9"/>
      <c r="C7" s="9"/>
      <c r="D7" s="22"/>
      <c r="E7" s="9"/>
      <c r="F7" s="24" t="s">
        <v>34</v>
      </c>
      <c r="G7" s="9"/>
    </row>
    <row r="8" spans="1:32" ht="35.15" customHeight="1" x14ac:dyDescent="0.35">
      <c r="A8" s="9"/>
      <c r="C8" s="9"/>
      <c r="E8" s="9"/>
      <c r="F8" s="18" t="s">
        <v>35</v>
      </c>
      <c r="G8" s="9"/>
    </row>
    <row r="9" spans="1:32" ht="35.15" customHeight="1" x14ac:dyDescent="0.35">
      <c r="A9" s="9"/>
      <c r="B9" s="9"/>
      <c r="C9" s="9"/>
      <c r="E9" s="9"/>
      <c r="F9" s="23" t="s">
        <v>37</v>
      </c>
      <c r="G9" s="9"/>
    </row>
    <row r="10" spans="1:32" ht="35.15" customHeight="1" x14ac:dyDescent="0.35">
      <c r="A10" s="9"/>
      <c r="B10" s="9"/>
      <c r="C10" s="9"/>
      <c r="D10" s="22"/>
      <c r="E10" s="9"/>
      <c r="F10" s="17" t="s">
        <v>230</v>
      </c>
      <c r="G10" s="9"/>
    </row>
    <row r="11" spans="1:32" ht="35.15" customHeight="1" x14ac:dyDescent="0.35">
      <c r="A11" s="9"/>
      <c r="B11" s="9"/>
      <c r="C11" s="9"/>
      <c r="D11" s="22"/>
      <c r="E11" s="9"/>
      <c r="F11" s="17"/>
      <c r="G11" s="9"/>
    </row>
    <row r="12" spans="1:32" x14ac:dyDescent="0.35">
      <c r="A12" s="9"/>
      <c r="B12" s="9"/>
      <c r="C12" s="9"/>
      <c r="D12" s="22"/>
      <c r="E12" s="9"/>
      <c r="F12" s="22"/>
      <c r="G12" s="9"/>
    </row>
    <row r="13" spans="1:32" x14ac:dyDescent="0.35">
      <c r="A13" s="9"/>
      <c r="B13" s="9"/>
      <c r="C13" s="9"/>
      <c r="D13" s="22"/>
      <c r="E13" s="9"/>
      <c r="F13" s="22"/>
      <c r="G13" s="9"/>
    </row>
    <row r="14" spans="1:32" x14ac:dyDescent="0.35">
      <c r="A14" s="9"/>
      <c r="B14" s="9"/>
      <c r="C14" s="9"/>
      <c r="D14" s="22"/>
      <c r="E14" s="9"/>
      <c r="F14" s="22"/>
      <c r="G14" s="9"/>
    </row>
    <row r="15" spans="1:32" x14ac:dyDescent="0.35">
      <c r="A15" s="9"/>
      <c r="B15" s="9"/>
      <c r="C15" s="9"/>
      <c r="D15" s="22"/>
      <c r="E15" s="9"/>
      <c r="F15" s="22"/>
      <c r="G15" s="9"/>
    </row>
    <row r="16" spans="1:32" x14ac:dyDescent="0.35">
      <c r="A16" s="9"/>
      <c r="B16" s="9"/>
      <c r="C16" s="9"/>
      <c r="D16" s="22"/>
      <c r="E16" s="9"/>
      <c r="F16" s="22"/>
      <c r="G16" s="9"/>
    </row>
    <row r="17" spans="1:7" x14ac:dyDescent="0.35">
      <c r="A17" s="9"/>
      <c r="B17" s="9"/>
      <c r="C17" s="9"/>
      <c r="D17" s="22"/>
      <c r="E17" s="9"/>
      <c r="G17" s="9"/>
    </row>
    <row r="18" spans="1:7" x14ac:dyDescent="0.35">
      <c r="A18" s="9"/>
      <c r="B18" s="9"/>
      <c r="C18" s="9"/>
      <c r="D18" s="22"/>
      <c r="E18" s="9"/>
      <c r="G18" s="9"/>
    </row>
    <row r="19" spans="1:7" x14ac:dyDescent="0.35">
      <c r="A19" s="9"/>
      <c r="B19" s="9"/>
      <c r="C19" s="9"/>
      <c r="D19" s="22"/>
      <c r="E19" s="9"/>
      <c r="G19" s="9"/>
    </row>
    <row r="20" spans="1:7" x14ac:dyDescent="0.35">
      <c r="A20" s="9"/>
      <c r="B20" s="9"/>
      <c r="C20" s="9"/>
      <c r="D20" s="22"/>
      <c r="E20" s="9"/>
      <c r="G20" s="9"/>
    </row>
    <row r="21" spans="1:7" x14ac:dyDescent="0.35">
      <c r="A21" s="9"/>
      <c r="B21" s="9"/>
      <c r="C21" s="9"/>
      <c r="D21" s="22"/>
      <c r="E21" s="9"/>
      <c r="G21" s="9"/>
    </row>
    <row r="22" spans="1:7" x14ac:dyDescent="0.35">
      <c r="A22" s="9"/>
      <c r="B22" s="9"/>
      <c r="C22" s="9"/>
      <c r="D22" s="22"/>
      <c r="E22" s="9"/>
      <c r="G22" s="9"/>
    </row>
    <row r="23" spans="1:7" x14ac:dyDescent="0.35">
      <c r="A23" s="9"/>
      <c r="B23" s="9"/>
      <c r="C23" s="9"/>
      <c r="D23" s="22"/>
      <c r="E23" s="9"/>
      <c r="G23" s="9"/>
    </row>
    <row r="24" spans="1:7" x14ac:dyDescent="0.35">
      <c r="A24" s="9"/>
      <c r="B24" s="9"/>
      <c r="C24" s="9"/>
      <c r="D24" s="22"/>
      <c r="E24" s="9"/>
      <c r="G24" s="9"/>
    </row>
    <row r="25" spans="1:7" x14ac:dyDescent="0.35">
      <c r="A25" s="9"/>
      <c r="B25" s="9"/>
      <c r="C25" s="9"/>
      <c r="D25" s="22"/>
      <c r="E25" s="9"/>
      <c r="G25" s="9"/>
    </row>
    <row r="26" spans="1:7" x14ac:dyDescent="0.35">
      <c r="A26" s="9"/>
      <c r="B26" s="9"/>
      <c r="C26" s="9"/>
      <c r="D26" s="22"/>
      <c r="E26" s="9"/>
      <c r="G26" s="9"/>
    </row>
    <row r="27" spans="1:7" x14ac:dyDescent="0.35">
      <c r="A27" s="9"/>
      <c r="B27" s="9"/>
      <c r="C27" s="9"/>
      <c r="D27" s="22"/>
      <c r="E27" s="9"/>
      <c r="G27" s="9"/>
    </row>
    <row r="28" spans="1:7" x14ac:dyDescent="0.35">
      <c r="A28" s="9"/>
      <c r="B28" s="9"/>
      <c r="C28" s="9"/>
      <c r="D28" s="22"/>
      <c r="E28" s="9"/>
      <c r="G28" s="9"/>
    </row>
    <row r="29" spans="1:7" x14ac:dyDescent="0.35">
      <c r="A29" s="9"/>
      <c r="B29" s="9"/>
      <c r="C29" s="9"/>
      <c r="D29" s="22"/>
      <c r="E29" s="9"/>
      <c r="G29" s="9"/>
    </row>
    <row r="30" spans="1:7" x14ac:dyDescent="0.35">
      <c r="A30" s="9"/>
      <c r="B30" s="9"/>
      <c r="C30" s="9"/>
      <c r="D30" s="22"/>
      <c r="E30" s="9"/>
      <c r="G30" s="9"/>
    </row>
    <row r="31" spans="1:7" x14ac:dyDescent="0.35">
      <c r="A31" s="9"/>
      <c r="B31" s="9"/>
      <c r="C31" s="9"/>
      <c r="D31" s="22"/>
      <c r="E31" s="9"/>
      <c r="G31" s="9"/>
    </row>
    <row r="32" spans="1:7" x14ac:dyDescent="0.35">
      <c r="A32"/>
      <c r="B32"/>
      <c r="C32"/>
      <c r="D32" s="22"/>
      <c r="E32"/>
      <c r="G32"/>
    </row>
    <row r="33" spans="1:7" x14ac:dyDescent="0.35">
      <c r="A33" s="9"/>
      <c r="B33" s="9"/>
      <c r="C33" s="9"/>
      <c r="E33" s="9"/>
      <c r="G33" s="9"/>
    </row>
    <row r="34" spans="1:7" x14ac:dyDescent="0.35">
      <c r="A34" s="9"/>
      <c r="B34" s="9"/>
      <c r="C34" s="9"/>
      <c r="E34" s="9"/>
      <c r="G34" s="9"/>
    </row>
    <row r="35" spans="1:7" x14ac:dyDescent="0.35">
      <c r="A35" s="9"/>
      <c r="B35" s="9"/>
      <c r="C35" s="9"/>
      <c r="E35" s="9"/>
      <c r="G35" s="9"/>
    </row>
    <row r="36" spans="1:7" x14ac:dyDescent="0.35">
      <c r="A36" s="9"/>
      <c r="B36" s="9"/>
      <c r="C36" s="9"/>
      <c r="E36" s="9"/>
      <c r="G36" s="9"/>
    </row>
    <row r="37" spans="1:7" x14ac:dyDescent="0.35">
      <c r="A37" s="9"/>
      <c r="B37" s="9"/>
      <c r="C37" s="9"/>
      <c r="E37" s="9"/>
      <c r="G37" s="9"/>
    </row>
    <row r="38" spans="1:7" x14ac:dyDescent="0.35">
      <c r="A38" s="9"/>
      <c r="B38" s="9"/>
      <c r="C38" s="9"/>
      <c r="E38" s="9"/>
      <c r="G38" s="9"/>
    </row>
    <row r="39" spans="1:7" x14ac:dyDescent="0.35">
      <c r="A39" s="9"/>
      <c r="B39" s="9"/>
      <c r="C39" s="9"/>
      <c r="E39" s="9"/>
      <c r="G39" s="9"/>
    </row>
    <row r="40" spans="1:7" x14ac:dyDescent="0.35">
      <c r="A40" s="9"/>
      <c r="B40" s="9"/>
      <c r="C40" s="9"/>
      <c r="E40" s="9"/>
      <c r="G40" s="9"/>
    </row>
    <row r="41" spans="1:7" x14ac:dyDescent="0.35">
      <c r="A41" s="9"/>
      <c r="B41" s="9"/>
      <c r="C41" s="9"/>
      <c r="E41" s="9"/>
      <c r="G41" s="9"/>
    </row>
    <row r="42" spans="1:7" x14ac:dyDescent="0.35">
      <c r="A42" s="9"/>
      <c r="B42" s="9"/>
      <c r="C42" s="9"/>
      <c r="E42" s="9"/>
      <c r="G42" s="9"/>
    </row>
    <row r="43" spans="1:7" x14ac:dyDescent="0.35">
      <c r="A43" s="9"/>
      <c r="B43" s="9"/>
      <c r="C43" s="9"/>
      <c r="E43" s="9"/>
      <c r="G43" s="9"/>
    </row>
    <row r="44" spans="1:7" x14ac:dyDescent="0.35">
      <c r="A44" s="9"/>
      <c r="B44" s="9"/>
      <c r="C44" s="9"/>
      <c r="E44" s="9"/>
      <c r="G44" s="9"/>
    </row>
    <row r="45" spans="1:7" x14ac:dyDescent="0.35">
      <c r="A45" s="9"/>
      <c r="B45" s="9"/>
      <c r="C45" s="9"/>
      <c r="E45" s="9"/>
      <c r="G45" s="9"/>
    </row>
    <row r="46" spans="1:7" x14ac:dyDescent="0.35">
      <c r="A46" s="9"/>
      <c r="B46" s="9"/>
      <c r="C46" s="9"/>
      <c r="E46" s="9"/>
      <c r="G46" s="9"/>
    </row>
    <row r="47" spans="1:7" x14ac:dyDescent="0.35">
      <c r="A47" s="9"/>
      <c r="B47" s="9"/>
      <c r="C47" s="9"/>
      <c r="E47" s="9"/>
      <c r="G47" s="9"/>
    </row>
    <row r="48" spans="1:7" x14ac:dyDescent="0.35">
      <c r="A48" s="9"/>
      <c r="B48" s="9"/>
      <c r="C48" s="9"/>
      <c r="E48" s="9"/>
      <c r="G48" s="9"/>
    </row>
    <row r="49" spans="1:7" x14ac:dyDescent="0.35">
      <c r="A49" s="9"/>
      <c r="B49" s="9"/>
      <c r="C49" s="9"/>
      <c r="E49" s="9"/>
      <c r="G49" s="9"/>
    </row>
    <row r="50" spans="1:7" x14ac:dyDescent="0.35">
      <c r="A50" s="9"/>
      <c r="B50" s="9"/>
      <c r="C50" s="9"/>
      <c r="E50" s="9"/>
      <c r="G50" s="9"/>
    </row>
    <row r="51" spans="1:7" x14ac:dyDescent="0.35">
      <c r="A51" s="9"/>
      <c r="B51" s="9"/>
      <c r="C51" s="9"/>
      <c r="E51" s="9"/>
      <c r="G51" s="9"/>
    </row>
    <row r="52" spans="1:7" x14ac:dyDescent="0.35">
      <c r="A52" s="9"/>
      <c r="B52" s="9"/>
      <c r="C52" s="9"/>
      <c r="E52" s="9"/>
      <c r="G52" s="9"/>
    </row>
    <row r="53" spans="1:7" x14ac:dyDescent="0.35">
      <c r="A53" s="9"/>
      <c r="B53" s="9"/>
      <c r="C53" s="9"/>
      <c r="E53" s="9"/>
      <c r="G53" s="9"/>
    </row>
    <row r="54" spans="1:7" x14ac:dyDescent="0.35">
      <c r="A54" s="9"/>
      <c r="B54" s="9"/>
      <c r="C54" s="9"/>
      <c r="E54" s="9"/>
      <c r="G54" s="9"/>
    </row>
    <row r="55" spans="1:7" x14ac:dyDescent="0.35">
      <c r="A55" s="9"/>
      <c r="B55" s="9"/>
      <c r="C55" s="9"/>
      <c r="E55" s="9"/>
      <c r="G55" s="9"/>
    </row>
    <row r="56" spans="1:7" x14ac:dyDescent="0.35">
      <c r="A56" s="9"/>
      <c r="B56" s="9"/>
      <c r="C56" s="9"/>
      <c r="E56" s="9"/>
      <c r="G56" s="9"/>
    </row>
    <row r="57" spans="1:7" x14ac:dyDescent="0.35">
      <c r="A57" s="9"/>
      <c r="B57" s="9"/>
      <c r="C57" s="9"/>
      <c r="E57" s="9"/>
      <c r="G57" s="9"/>
    </row>
    <row r="58" spans="1:7" x14ac:dyDescent="0.35">
      <c r="A58" s="9"/>
      <c r="B58" s="9"/>
      <c r="C58" s="9"/>
      <c r="E58" s="9"/>
      <c r="G58" s="9"/>
    </row>
    <row r="59" spans="1:7" x14ac:dyDescent="0.35">
      <c r="A59" s="9"/>
      <c r="B59" s="9"/>
      <c r="C59" s="9"/>
      <c r="E59" s="9"/>
      <c r="G59" s="9"/>
    </row>
    <row r="60" spans="1:7" x14ac:dyDescent="0.35">
      <c r="A60" s="9"/>
      <c r="B60" s="9"/>
      <c r="C60" s="9"/>
      <c r="E60" s="9"/>
      <c r="G60" s="9"/>
    </row>
    <row r="61" spans="1:7" x14ac:dyDescent="0.35">
      <c r="A61" s="9"/>
      <c r="B61" s="9"/>
      <c r="C61" s="9"/>
      <c r="E61" s="9"/>
      <c r="G61" s="9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'Presupuesto del proyecto'!Área_de_impresión</vt:lpstr>
      <vt:lpstr>Status</vt:lpstr>
      <vt:lpstr>YesNo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Ext Juan Sebastian Martinez Campuzano</cp:lastModifiedBy>
  <cp:lastPrinted>2022-01-31T23:51:04Z</cp:lastPrinted>
  <dcterms:created xsi:type="dcterms:W3CDTF">2015-08-28T20:34:30Z</dcterms:created>
  <dcterms:modified xsi:type="dcterms:W3CDTF">2026-09-30T22:51:17Z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27fec-be1e-40ee-b325-1150ed8ebb89_Enabled">
    <vt:lpwstr>true</vt:lpwstr>
  </property>
  <property fmtid="{D5CDD505-2E9C-101B-9397-08002B2CF9AE}" pid="3" name="MSIP_Label_2d127fec-be1e-40ee-b325-1150ed8ebb89_SetDate">
    <vt:lpwstr>2026-08-26T03:56:36Z</vt:lpwstr>
  </property>
  <property fmtid="{D5CDD505-2E9C-101B-9397-08002B2CF9AE}" pid="4" name="MSIP_Label_2d127fec-be1e-40ee-b325-1150ed8ebb89_Method">
    <vt:lpwstr>Standard</vt:lpwstr>
  </property>
  <property fmtid="{D5CDD505-2E9C-101B-9397-08002B2CF9AE}" pid="5" name="MSIP_Label_2d127fec-be1e-40ee-b325-1150ed8ebb89_Name">
    <vt:lpwstr>POC Internal</vt:lpwstr>
  </property>
  <property fmtid="{D5CDD505-2E9C-101B-9397-08002B2CF9AE}" pid="6" name="MSIP_Label_2d127fec-be1e-40ee-b325-1150ed8ebb89_SiteId">
    <vt:lpwstr>038d1eb6-c4ba-4396-9150-1ad91c9469c6</vt:lpwstr>
  </property>
  <property fmtid="{D5CDD505-2E9C-101B-9397-08002B2CF9AE}" pid="7" name="MSIP_Label_2d127fec-be1e-40ee-b325-1150ed8ebb89_ActionId">
    <vt:lpwstr>862cb6c1-8bdb-42d7-80de-7832a35a76b2</vt:lpwstr>
  </property>
  <property fmtid="{D5CDD505-2E9C-101B-9397-08002B2CF9AE}" pid="8" name="MSIP_Label_2d127fec-be1e-40ee-b325-1150ed8ebb89_ContentBits">
    <vt:lpwstr>0</vt:lpwstr>
  </property>
  <property fmtid="{D5CDD505-2E9C-101B-9397-08002B2CF9AE}" pid="9" name="MSIP_Label_2d127fec-be1e-40ee-b325-1150ed8ebb89_Tag">
    <vt:lpwstr>10, 3, 0, 1</vt:lpwstr>
  </property>
</Properties>
</file>